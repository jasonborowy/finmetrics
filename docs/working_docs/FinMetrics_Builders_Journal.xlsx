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orowyconsulting-my.sharepoint.com/personal/jasonborowy_borowyconsulting_com1/Documents/FinMetrics/"/>
    </mc:Choice>
  </mc:AlternateContent>
  <xr:revisionPtr revIDLastSave="11" documentId="11_60E399DADDAE7484A78E71173229D9809C8A41BC" xr6:coauthVersionLast="47" xr6:coauthVersionMax="47" xr10:uidLastSave="{0C94C477-F688-480F-AAFB-ED700BE3382D}"/>
  <bookViews>
    <workbookView xWindow="1851" yWindow="3129" windowWidth="24103" windowHeight="14357" tabRatio="500" activeTab="7" xr2:uid="{00000000-000D-0000-FFFF-FFFF00000000}"/>
  </bookViews>
  <sheets>
    <sheet name="📊 Dashboard" sheetId="1" r:id="rId1"/>
    <sheet name="Journal" sheetId="2" r:id="rId2"/>
    <sheet name="Decisions" sheetId="3" r:id="rId3"/>
    <sheet name="Discoveries" sheetId="4" r:id="rId4"/>
    <sheet name="Gaps" sheetId="5" r:id="rId5"/>
    <sheet name="Reading" sheetId="6" r:id="rId6"/>
    <sheet name="Companies" sheetId="7" r:id="rId7"/>
    <sheet name="MetricStatu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3" i="1" l="1"/>
  <c r="C32" i="1"/>
  <c r="C31" i="1"/>
  <c r="C30" i="1"/>
  <c r="C28" i="1"/>
  <c r="C27" i="1"/>
  <c r="D23" i="1"/>
  <c r="E22" i="1"/>
  <c r="D22" i="1"/>
  <c r="F22" i="1" s="1"/>
  <c r="E21" i="1"/>
  <c r="D21" i="1"/>
  <c r="F21" i="1" s="1"/>
  <c r="F20" i="1"/>
  <c r="E20" i="1"/>
  <c r="D20" i="1"/>
  <c r="E19" i="1"/>
  <c r="D19" i="1"/>
  <c r="F19" i="1" s="1"/>
  <c r="E18" i="1"/>
  <c r="D18" i="1"/>
  <c r="F18" i="1" s="1"/>
  <c r="E17" i="1"/>
  <c r="D17" i="1"/>
  <c r="F17" i="1" s="1"/>
  <c r="E16" i="1"/>
  <c r="D16" i="1"/>
  <c r="F16" i="1" s="1"/>
  <c r="E15" i="1"/>
  <c r="D15" i="1"/>
  <c r="F15" i="1" s="1"/>
  <c r="F10" i="1"/>
  <c r="G10" i="1" s="1"/>
  <c r="F9" i="1"/>
  <c r="G9" i="1" s="1"/>
  <c r="F8" i="1"/>
  <c r="G8" i="1" s="1"/>
  <c r="F7" i="1"/>
  <c r="G7" i="1" s="1"/>
</calcChain>
</file>

<file path=xl/sharedStrings.xml><?xml version="1.0" encoding="utf-8"?>
<sst xmlns="http://schemas.openxmlformats.org/spreadsheetml/2006/main" count="699" uniqueCount="329">
  <si>
    <t>FINMETRICS — Builder's Journal</t>
  </si>
  <si>
    <t>Borowy Consulting  |  Living Audit Log  |  How the System Was Built</t>
  </si>
  <si>
    <t>PHASE PROGRESS TRACKER</t>
  </si>
  <si>
    <t>Phase</t>
  </si>
  <si>
    <t>Description</t>
  </si>
  <si>
    <t>Status</t>
  </si>
  <si>
    <t>Hours Budget</t>
  </si>
  <si>
    <t>Hours Logged</t>
  </si>
  <si>
    <t>% Complete</t>
  </si>
  <si>
    <t>Target Date</t>
  </si>
  <si>
    <t>Phase 1</t>
  </si>
  <si>
    <t>Foundation — Pipeline + React (10 tickers live)</t>
  </si>
  <si>
    <t>Not Started</t>
  </si>
  <si>
    <t>Phase 2</t>
  </si>
  <si>
    <t>Depth — Insight Layer + Power BI Reports</t>
  </si>
  <si>
    <t>Phase 3</t>
  </si>
  <si>
    <t>Scale — 230+ Companies + EDINET + Content Launch</t>
  </si>
  <si>
    <t>Phase 4</t>
  </si>
  <si>
    <t>Monetize — DART/TWSE + SaaS + Power BI Pack</t>
  </si>
  <si>
    <t>HOURS BY COMPONENT</t>
  </si>
  <si>
    <t>Component</t>
  </si>
  <si>
    <t>Tag Used in Journal</t>
  </si>
  <si>
    <t>Sessions</t>
  </si>
  <si>
    <t>% of Total</t>
  </si>
  <si>
    <t>Pipeline / ETL</t>
  </si>
  <si>
    <t>Pipeline</t>
  </si>
  <si>
    <t>Database / Schema</t>
  </si>
  <si>
    <t>Database</t>
  </si>
  <si>
    <t>API (FastAPI)</t>
  </si>
  <si>
    <t>API</t>
  </si>
  <si>
    <t>React Dashboard</t>
  </si>
  <si>
    <t>Dashboard</t>
  </si>
  <si>
    <t>Power BI Reports</t>
  </si>
  <si>
    <t>PowerBI</t>
  </si>
  <si>
    <t>Documentation / Spec</t>
  </si>
  <si>
    <t>Documentation</t>
  </si>
  <si>
    <t>Research / Reading</t>
  </si>
  <si>
    <t>Research</t>
  </si>
  <si>
    <t>Testing / Debugging</t>
  </si>
  <si>
    <t>Testing</t>
  </si>
  <si>
    <t>TOTAL HOURS LOGGED</t>
  </si>
  <si>
    <t>BUILD METRICS</t>
  </si>
  <si>
    <t>Metric</t>
  </si>
  <si>
    <t>Value</t>
  </si>
  <si>
    <t>Context</t>
  </si>
  <si>
    <t>Companies loaded</t>
  </si>
  <si>
    <t>companies in database</t>
  </si>
  <si>
    <t>Metrics available</t>
  </si>
  <si>
    <t>of 75 public metrics</t>
  </si>
  <si>
    <t>Test suite coverage</t>
  </si>
  <si>
    <t>—</t>
  </si>
  <si>
    <t>% of pipeline tests passing</t>
  </si>
  <si>
    <t>Known gaps logged</t>
  </si>
  <si>
    <t>open gap entries</t>
  </si>
  <si>
    <t>Decisions logged</t>
  </si>
  <si>
    <t>architectural decisions</t>
  </si>
  <si>
    <t>Discoveries logged</t>
  </si>
  <si>
    <t>unexpected data findings</t>
  </si>
  <si>
    <t>References read</t>
  </si>
  <si>
    <t>papers, docs, articles</t>
  </si>
  <si>
    <t>BUILDER'S JOURNAL — Session Log</t>
  </si>
  <si>
    <t>One row per session. Date → Hours → Phase → Component → What happened → Decisions → Questions → Reading → Thoughts → Next intent.</t>
  </si>
  <si>
    <t>Date</t>
  </si>
  <si>
    <t>Session #</t>
  </si>
  <si>
    <t>Hours</t>
  </si>
  <si>
    <t>Spec Section</t>
  </si>
  <si>
    <t>What Was Attempted / Completed</t>
  </si>
  <si>
    <t>What Broke / Surprised</t>
  </si>
  <si>
    <t>Decisions Made (with rationale)</t>
  </si>
  <si>
    <t>Questions Opened</t>
  </si>
  <si>
    <t>Next Session Intent</t>
  </si>
  <si>
    <t>Phase 0</t>
  </si>
  <si>
    <t>All sections</t>
  </si>
  <si>
    <t>Completed FinMetrics Master Specification v1.0. Consolidated Roadmap v2, DataFramework, and ExpandedMetrics into single document. Added Section 7 Systems Analysis Framework — causal chains, stakeholder model, incentive layer. Expanded metric framework from 55 to 75. Defined 12 parked private metrics. Built complete Python pipeline scaffold with 31 passing tests.</t>
  </si>
  <si>
    <t>The document inventory had grown to 5+ active docs with overlapping content — alignment gaps identified across roadmap, data framework, and expanded metrics. Required full consolidation before systems framework could be added cleanly.</t>
  </si>
  <si>
    <t>Single master specification as single source of truth. Separate branded appendix for Borowy Consulting private framework. Living documents (Excel, code) stay separate. Retired 3 prior active documents into master.</t>
  </si>
  <si>
    <t>How will causal chains for remaining 71 metrics (beyond the 4 prototypes) be documented? Will they live in the Excel reference or the master spec? What is the right format for the Power BI Systems View (Page 7)?</t>
  </si>
  <si>
    <t>Begin Phase 1 pipeline build. Start with EDGAR connector testing — run diagnose_edgar.py against NVDA and TSM. Document findings in this journal before writing any ETL code.</t>
  </si>
  <si>
    <t>ARCHITECTURAL DECISION LOG — Every significant choice, documented with rationale</t>
  </si>
  <si>
    <t>ADR #</t>
  </si>
  <si>
    <t>Decision</t>
  </si>
  <si>
    <t>Context / Problem</t>
  </si>
  <si>
    <t>Rationale</t>
  </si>
  <si>
    <t>Alternatives Rejected</t>
  </si>
  <si>
    <t>Consequences</t>
  </si>
  <si>
    <t>ADR-001</t>
  </si>
  <si>
    <t>2026-06-02</t>
  </si>
  <si>
    <t>PostgreSQL as primary database</t>
  </si>
  <si>
    <t>Need database supporting both pipeline writes and Power BI DirectQuery. Must scale from local dev to cloud without schema changes.</t>
  </si>
  <si>
    <t>Enterprise-grade, native Power BI connector, full SQL, JSONB for flags, TimescaleDB extension available for time-series optimization.</t>
  </si>
  <si>
    <t>SQLite (dev only, no PBI DirectQuery), MongoDB (no native SQL, limited PBI connector), Supabase (vendor lock-in on free tier).</t>
  </si>
  <si>
    <t>Power BI connects directly — no API layer needed for analyst reports. JSONB accounting_flags column stores flexible flag arrays. Denormalized flag_ boolean columns added for PBI filter performance.</t>
  </si>
  <si>
    <t>ADR-002</t>
  </si>
  <si>
    <t>Canonical tag mapping as database table + in-memory resolver</t>
  </si>
  <si>
    <t>5 filing systems use 5 different XBRL taxonomies. Same concept has different tag names. Within a single taxonomy, multiple valid synonym tags exist for the same concept.</t>
  </si>
  <si>
    <t>Seed mappings (~200 most common) ship with codebase. New tags discovered during pipeline runs logged and added to database without code changes. Priority ordering handles synonym disambiguation.</t>
  </si>
  <si>
    <t>Hardcoded tag lists per metric (brittle, hard to extend), External mapping service (dependency risk), Single canonical tag only (misses too many filings).</t>
  </si>
  <si>
    <t>tag_resolver.py loads all mappings at startup. Unresolved tags logged per session for review. Coverage % tracked in completeness_scores. New filing systems add new taxonomy sections incrementally.</t>
  </si>
  <si>
    <t>ADR-003</t>
  </si>
  <si>
    <t>Period-average FX for P&amp;L; period-end for B/S</t>
  </si>
  <si>
    <t>Companies report in JPY, EUR, KRW, TWD. All FinMetrics output must be USD-comparable. Conversion rate choice materially affects metric values.</t>
  </si>
  <si>
    <t>Standard financial reporting practice (FASB ASC 830 / IAS 21). Period-average eliminates single-date distortion for income statement items. Period-end reflects actual asset/liability value at reporting date.</t>
  </si>
  <si>
    <t>Single spot rate (distorts time-series), Annual average rate (loses quarterly precision), No conversion / local currency display (prevents cross-company comparison).</t>
  </si>
  <si>
    <t>fx_rates table stores daily rates per currency per source. Both rate types stored alongside value_usd in raw_facts for full audit trail. ECB and Fed H.10 as free sources.</t>
  </si>
  <si>
    <t>ADR-004</t>
  </si>
  <si>
    <t>Diagnostic-first ETL workflow standard</t>
  </si>
  <si>
    <t>ETL errors are silent and compound. Wrong unit assumptions (monthly vs annual) produce plausible-looking numbers that are systematically wrong. Learned from HEMM IS_2012 era break and EAP EAPMED column misinterpretation.</t>
  </si>
  <si>
    <t>Mandatory diagnostic step before any ETL code prevents the most damaging failure mode: incorrect assumptions built into production code. Based on HEMM Section 8.4 workflow standard.</t>
  </si>
  <si>
    <t>Write ETL and fix errors later (reactive), Trust documentation without verification (naive), Add validation post-ETL (catches errors but too late).</t>
  </si>
  <si>
    <t>diagnose_edgar.py must be run and reviewed before any new company or data source ETL. Findings documented in ETL script header. This creates an audit trail from diagnosis to implementation.</t>
  </si>
  <si>
    <t>ADR-005</t>
  </si>
  <si>
    <t>Master specification as single source of truth</t>
  </si>
  <si>
    <t>Five active documents with overlapping content created alignment gaps. Systems framework needed to integrate with roadmap, data model, metric definitions, and Power BI spec simultaneously.</t>
  </si>
  <si>
    <t>One document that all decisions reference. Eliminates drift. When something changes, it changes once. Retired documents preserved in Appendix C with content location map.</t>
  </si>
  <si>
    <t>Multiple specialized documents (drift risk), Wiki (version control harder), README-only (insufficient depth for this scope).</t>
  </si>
  <si>
    <t>Three documents retired into master. Living documents (Excel, code) stay separate as operational tools. Appendix A stays as Borowy Consulting branded document.</t>
  </si>
  <si>
    <t>DISCOVERY LOG — Unexpected findings in real data. The most valuable entries in this journal.</t>
  </si>
  <si>
    <t>When the data surprises you — document it here. This is where the real knowledge lives.</t>
  </si>
  <si>
    <t>Company / Source</t>
  </si>
  <si>
    <t>What Was Found</t>
  </si>
  <si>
    <t>Why It Matters</t>
  </si>
  <si>
    <t>Action Taken / Impact on Methodology</t>
  </si>
  <si>
    <t>Phase 0 (HEMM)</t>
  </si>
  <si>
    <t>IPEDS / EDGAR general</t>
  </si>
  <si>
    <t>ETL era breaks are silent by default. The IS_2012 salary survey changed from monthly to annual values without documentation. Built pipeline assuming monthly × 9, producing numbers 9× too high that looked plausible.</t>
  </si>
  <si>
    <t>A single undocumented format change produced systematically wrong numbers across all institutions for multiple years. No error was thrown. The data looked reasonable.</t>
  </si>
  <si>
    <t>Established mandatory diagnostic-first workflow (ADR-004). diagnose_edgar.py runs before any ETL. Era changes now documented in script headers before code is written.</t>
  </si>
  <si>
    <t>IPEDS EAP survey</t>
  </si>
  <si>
    <t>EAPMED column name looks like "median" but actually means "medical school headcount." Named for a medical school subdivision, not a statistical measure.</t>
  </si>
  <si>
    <t>Column naming conventions in regulatory data are not self-documenting. Assumptions based on intuitive reading of names will fail. The only defense is reading the actual data dictionary.</t>
  </si>
  <si>
    <t>Added "Dictionary Review" as mandatory Step 1 of ETL workflow. Read minimum 2 non-consecutive years of dictionary before writing any code.</t>
  </si>
  <si>
    <t>KNOWN GAPS REGISTRY — Every gap documented with workaround and resolution plan</t>
  </si>
  <si>
    <t>Gap ID</t>
  </si>
  <si>
    <t>Opened</t>
  </si>
  <si>
    <t>Table / Metric</t>
  </si>
  <si>
    <t>Workaround</t>
  </si>
  <si>
    <t>Resolution Plan</t>
  </si>
  <si>
    <t>KG-HR-01</t>
  </si>
  <si>
    <t>f_ipeds_hr_sal</t>
  </si>
  <si>
    <t>HEMM: 2000 gap year — no IPEDS salary file exists</t>
  </si>
  <si>
    <t>Document; no imputation</t>
  </si>
  <si>
    <t>Accept as structural gap in the data source</t>
  </si>
  <si>
    <t>Accepted</t>
  </si>
  <si>
    <t>KG-ED-01</t>
  </si>
  <si>
    <t>EDGAR / tag_mappings</t>
  </si>
  <si>
    <t>Some companies use non-standard XBRL tags not in seed mapping. First seen when company uses custom extension taxonomy.</t>
  </si>
  <si>
    <t>Store raw fact with canonical_tag=NULL; log for review</t>
  </si>
  <si>
    <t>diagnose_edgar.py surfaces unresolved tags; add to tag_mappings table per new company</t>
  </si>
  <si>
    <t>Open</t>
  </si>
  <si>
    <t>KG-ED-02</t>
  </si>
  <si>
    <t>metrics / Employees</t>
  </si>
  <si>
    <t>EntityNumberOfEmployees not consistently tagged across all EDGAR filers. Some companies report in MD&amp;A text only.</t>
  </si>
  <si>
    <t>SPARSE_EMPLOYEES flag; metric set to NULL; text extraction Phase 3</t>
  </si>
  <si>
    <t>Phase 3 text_extractor.py will attempt to find headcount in filing text</t>
  </si>
  <si>
    <t>Deferred</t>
  </si>
  <si>
    <t>KG-ED-03</t>
  </si>
  <si>
    <t>text_facts / Customer Conc</t>
  </si>
  <si>
    <t>Customer concentration not XBRL-tagged. Requires 10-K text extraction with pattern matching. Confidence varies by disclosure format.</t>
  </si>
  <si>
    <t>TEXT_LOW_CONFIDENCE or TEXT_NOT_DISCLOSED flags; metric NULL where undisclosed</t>
  </si>
  <si>
    <t>text_extractor.py Phase 2-3. Confidence scoring. Raw excerpt stored for audit.</t>
  </si>
  <si>
    <t>Phase 2-3</t>
  </si>
  <si>
    <t>KG-ED-04</t>
  </si>
  <si>
    <t>sector_book_to_bill</t>
  </si>
  <si>
    <t>Company-level book-to-bill not standardized in XBRL. SEMI publishes sector-level only. Company-level requires earnings call parsing.</t>
  </si>
  <si>
    <t>Use SEMI sector data Phase 2. Flag BTB_SECTOR_ONLY.</t>
  </si>
  <si>
    <t>Phase 3: per-company parsing for AMAT, LRCX, KLAC, TEL who disclose backlog.</t>
  </si>
  <si>
    <t>KG-FX-01</t>
  </si>
  <si>
    <t>fx_rates</t>
  </si>
  <si>
    <t>ECB/Fed rates may not be available for all dates (holidays, weekends). Exact date miss for period-end B/S conversion.</t>
  </si>
  <si>
    <t>Fallback: search ±7 days for nearest rate. Log warning when fallback used.</t>
  </si>
  <si>
    <t>Accept as operational gap. Document fallback in fx_converter.py</t>
  </si>
  <si>
    <t>READING LOG — Papers, documentation, articles. What you read, when, and what it changed.</t>
  </si>
  <si>
    <t>Title / Source</t>
  </si>
  <si>
    <t>Author / URL</t>
  </si>
  <si>
    <t>Type</t>
  </si>
  <si>
    <t>Relevance</t>
  </si>
  <si>
    <t>Key Takeaways &amp; Impact on Build</t>
  </si>
  <si>
    <t>SEC EDGAR XBRL API Documentation</t>
  </si>
  <si>
    <t>data.sec.gov/api</t>
  </si>
  <si>
    <t>Technical</t>
  </si>
  <si>
    <t>CompanyFacts endpoint returns all filed XBRL facts in one JSON call. User-Agent header required — 403 without it. 10 req/sec rate limit across all EDGAR domains. CIK must be zero-padded to 10 digits.</t>
  </si>
  <si>
    <t>IFRS vs US GAAP: The Basics — EY Annual Guide</t>
  </si>
  <si>
    <t>ey.com/en_us/assurance/ifrs</t>
  </si>
  <si>
    <t>Normalization</t>
  </si>
  <si>
    <t>LIFO prohibited under IFRS. Development costs capitalized under IAS 38 if 6 criteria met. IFRS 16 vs ASC 842 lease treatment difference produces EBITDA gap that must be adjusted for peer comparison. Asset revaluation under IAS 16 affects return ratios.</t>
  </si>
  <si>
    <t>IPEDS Data Center — Survey Documentation</t>
  </si>
  <si>
    <t>nces.ed.gov/ipeds/datacenter</t>
  </si>
  <si>
    <t>HEMM / Phase 0</t>
  </si>
  <si>
    <t>HEMM origin reference. Dictionary review before ETL is mandatory — column names are not self-documenting (see EAPMED discovery). Era breaks must be confirmed against actual data schema, not assumed from documentation.</t>
  </si>
  <si>
    <t>SEMI Industry Book-to-Bill Reports</t>
  </si>
  <si>
    <t>semi.org/en/products-services/market-data</t>
  </si>
  <si>
    <t>Industry Data</t>
  </si>
  <si>
    <t>Semiconductor</t>
  </si>
  <si>
    <t>Monthly publication of North American semiconductor book-to-bill ratio. Free download. Historical data available. Leading indicator of semiconductor demand direction 1-3 quarters ahead.</t>
  </si>
  <si>
    <t>Thinking in Systems — Donella Meadows</t>
  </si>
  <si>
    <t>Chelsea Green Publishing, 2008</t>
  </si>
  <si>
    <t>Book</t>
  </si>
  <si>
    <t>Systems Framework</t>
  </si>
  <si>
    <t>Foundational text for systems thinking framework in Section 7. Reinforcing vs balancing loops. Stock and flow diagrams. Leverage points — where small changes produce large effects. Time delays as source of most business decision errors. The bathtub metaphor for stocks.</t>
  </si>
  <si>
    <t>COMPANY TRACKER — Pipeline load status per company</t>
  </si>
  <si>
    <t>Ticker</t>
  </si>
  <si>
    <t>Company Name</t>
  </si>
  <si>
    <t>Sub-Sector</t>
  </si>
  <si>
    <t>Filing System</t>
  </si>
  <si>
    <t>Date Loaded</t>
  </si>
  <si>
    <t>Completeness %</t>
  </si>
  <si>
    <t>NVDA</t>
  </si>
  <si>
    <t>Nvidia Corporation</t>
  </si>
  <si>
    <t>Fabless</t>
  </si>
  <si>
    <t>EDGAR</t>
  </si>
  <si>
    <t>Planned</t>
  </si>
  <si>
    <t>AAPL</t>
  </si>
  <si>
    <t>Apple Inc.</t>
  </si>
  <si>
    <t>Consumer Tech / Semi customer</t>
  </si>
  <si>
    <t>MSFT</t>
  </si>
  <si>
    <t>Microsoft Corporation</t>
  </si>
  <si>
    <t>Information Technology benchmark</t>
  </si>
  <si>
    <t>AMZN</t>
  </si>
  <si>
    <t>Amazon.com Inc.</t>
  </si>
  <si>
    <t>Consumer Disc benchmark</t>
  </si>
  <si>
    <t>TSM</t>
  </si>
  <si>
    <t>Taiwan Semiconductor (ADR)</t>
  </si>
  <si>
    <t>Foundry</t>
  </si>
  <si>
    <t>EDGAR 20-F</t>
  </si>
  <si>
    <t>ASML</t>
  </si>
  <si>
    <t>ASML Holding NV (ADR)</t>
  </si>
  <si>
    <t>Equipment</t>
  </si>
  <si>
    <t>AMD</t>
  </si>
  <si>
    <t>Advanced Micro Devices</t>
  </si>
  <si>
    <t>INTC</t>
  </si>
  <si>
    <t>Intel Corporation</t>
  </si>
  <si>
    <t>IDM</t>
  </si>
  <si>
    <t>AMAT</t>
  </si>
  <si>
    <t>Applied Materials Inc.</t>
  </si>
  <si>
    <t>JPM</t>
  </si>
  <si>
    <t>JPMorgan Chase &amp; Co.</t>
  </si>
  <si>
    <t>Financials benchmark</t>
  </si>
  <si>
    <t>METRIC STATUS — Tag mapping and calculation status per metric</t>
  </si>
  <si>
    <t>Category</t>
  </si>
  <si>
    <t>Tag Mapped</t>
  </si>
  <si>
    <t>Calc Implemented</t>
  </si>
  <si>
    <t>Notes</t>
  </si>
  <si>
    <t>Common Shares</t>
  </si>
  <si>
    <t>Growth</t>
  </si>
  <si>
    <t>1</t>
  </si>
  <si>
    <t>No</t>
  </si>
  <si>
    <t>Employee Growth</t>
  </si>
  <si>
    <t>Employees</t>
  </si>
  <si>
    <t>Market Capitalization</t>
  </si>
  <si>
    <t>R&amp;D Margin</t>
  </si>
  <si>
    <t>R&amp;D Ratio</t>
  </si>
  <si>
    <t>R&amp;D To COGS Ratio</t>
  </si>
  <si>
    <t>Revenue</t>
  </si>
  <si>
    <t>Revenue Growth</t>
  </si>
  <si>
    <t>Revenue Growth TTM</t>
  </si>
  <si>
    <t>Revenue TTM</t>
  </si>
  <si>
    <t>SG&amp;A Margin</t>
  </si>
  <si>
    <t>SG&amp;A Ratio</t>
  </si>
  <si>
    <t>SG&amp;A To COGS Ratio</t>
  </si>
  <si>
    <t>Cash</t>
  </si>
  <si>
    <t>Profitability</t>
  </si>
  <si>
    <t>Cash Change In Period</t>
  </si>
  <si>
    <t>Cash On Hand</t>
  </si>
  <si>
    <t>Cash Ratio TTM</t>
  </si>
  <si>
    <t>Cash Ratio Quarter</t>
  </si>
  <si>
    <t>Cash Ratio Year</t>
  </si>
  <si>
    <t>COGS</t>
  </si>
  <si>
    <t>EBITDA</t>
  </si>
  <si>
    <t>Free Cash Flow Ratio</t>
  </si>
  <si>
    <t>Gross Margin</t>
  </si>
  <si>
    <t>Gross Profit</t>
  </si>
  <si>
    <t>Fgross Profit</t>
  </si>
  <si>
    <t>Net Profit Margin</t>
  </si>
  <si>
    <t>Operating Cash Flow Ratio</t>
  </si>
  <si>
    <t>Operating Margin</t>
  </si>
  <si>
    <t>Opex Ratio</t>
  </si>
  <si>
    <t>Pretax Margin</t>
  </si>
  <si>
    <t>Cash-To-Cash</t>
  </si>
  <si>
    <t>Cycle</t>
  </si>
  <si>
    <t>Days Of Finished Goods</t>
  </si>
  <si>
    <t>Days Of Inventory</t>
  </si>
  <si>
    <t>Days Of Payables Outstanding</t>
  </si>
  <si>
    <t>Days Of Raw Materials</t>
  </si>
  <si>
    <t>Days Of Sales Outstanding</t>
  </si>
  <si>
    <t>Days Of Work In Progress</t>
  </si>
  <si>
    <t>DPO/DSO</t>
  </si>
  <si>
    <t>Finished Goods Inventory</t>
  </si>
  <si>
    <t>Inventory</t>
  </si>
  <si>
    <t>Inventory Turns</t>
  </si>
  <si>
    <t>Receivables Turns</t>
  </si>
  <si>
    <t>Raw Materials Inventory</t>
  </si>
  <si>
    <t>Work In Progress Inventory</t>
  </si>
  <si>
    <t>Altman Z</t>
  </si>
  <si>
    <t>Complexity</t>
  </si>
  <si>
    <t>Capital Turnover</t>
  </si>
  <si>
    <t>Current Ratio</t>
  </si>
  <si>
    <t>Quick Ratio</t>
  </si>
  <si>
    <t>Return On Assets</t>
  </si>
  <si>
    <t>Return On Equity</t>
  </si>
  <si>
    <t>Return On Invested Capital</t>
  </si>
  <si>
    <t>Return On Net Assets</t>
  </si>
  <si>
    <t>Revenue Per Employee</t>
  </si>
  <si>
    <t>Working Capital Ratio</t>
  </si>
  <si>
    <t>EV/EBITDA</t>
  </si>
  <si>
    <t>Valuation</t>
  </si>
  <si>
    <t>2</t>
  </si>
  <si>
    <t>EV/Revenue</t>
  </si>
  <si>
    <t>EV/Gross Profit</t>
  </si>
  <si>
    <t>Price to Earnings</t>
  </si>
  <si>
    <t>Price to Free Cash Flow</t>
  </si>
  <si>
    <t>Gross Profit Growth</t>
  </si>
  <si>
    <t>Growth Quality</t>
  </si>
  <si>
    <t>Rule of 40</t>
  </si>
  <si>
    <t>Book-to-Bill Ratio</t>
  </si>
  <si>
    <t>Asset Turnover</t>
  </si>
  <si>
    <t>Capital Efficiency</t>
  </si>
  <si>
    <t>CapEx Intensity</t>
  </si>
  <si>
    <t>CapEx to Depreciation</t>
  </si>
  <si>
    <t>Net Debt to EBITDA</t>
  </si>
  <si>
    <t>FCF Conversion Rate</t>
  </si>
  <si>
    <t>Customer Concentration Top 3</t>
  </si>
  <si>
    <t>2-3</t>
  </si>
  <si>
    <t>Customer Concentration Top 10</t>
  </si>
  <si>
    <t>Geographic Revenue Concentration</t>
  </si>
  <si>
    <t>R&amp;D Intensity vs Sector Benchmark</t>
  </si>
  <si>
    <t>FCF Conversion</t>
  </si>
  <si>
    <t>Cash Flow Quality</t>
  </si>
  <si>
    <t>Cash Earnings</t>
  </si>
  <si>
    <t>Days Cash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</si>
</sst>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1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9CA3A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374151"/>
      <name val="Arial"/>
      <charset val="1"/>
    </font>
    <font>
      <sz val="10"/>
      <color rgb="FF0D1B2A"/>
      <name val="Arial"/>
      <charset val="1"/>
    </font>
    <font>
      <b/>
      <sz val="10"/>
      <color rgb="FF374151"/>
      <name val="Arial"/>
      <charset val="1"/>
    </font>
    <font>
      <b/>
      <sz val="12"/>
      <color rgb="FF0D1B2A"/>
      <name val="Arial"/>
      <charset val="1"/>
    </font>
    <font>
      <sz val="10"/>
      <color rgb="FF9CA3AF"/>
      <name val="Arial"/>
      <charset val="1"/>
    </font>
    <font>
      <b/>
      <sz val="14"/>
      <color rgb="FFFFFFFF"/>
      <name val="Arial"/>
      <charset val="1"/>
    </font>
    <font>
      <i/>
      <sz val="9"/>
      <color rgb="FF9CA3AF"/>
      <name val="Arial"/>
      <charset val="1"/>
    </font>
    <font>
      <b/>
      <sz val="9"/>
      <color rgb="FFFFFFFF"/>
      <name val="Arial"/>
      <charset val="1"/>
    </font>
    <font>
      <sz val="9"/>
      <color rgb="FF374151"/>
      <name val="Arial"/>
      <charset val="1"/>
    </font>
    <font>
      <b/>
      <sz val="12"/>
      <color rgb="FFFFFFFF"/>
      <name val="Arial"/>
      <charset val="1"/>
    </font>
    <font>
      <b/>
      <sz val="9"/>
      <color rgb="FF0F766E"/>
      <name val="Arial"/>
      <charset val="1"/>
    </font>
    <font>
      <b/>
      <sz val="9"/>
      <color rgb="FF991B1B"/>
      <name val="Arial"/>
      <charset val="1"/>
    </font>
    <font>
      <b/>
      <sz val="10"/>
      <color rgb="FF2563EB"/>
      <name val="Arial"/>
      <charset val="1"/>
    </font>
    <font>
      <b/>
      <sz val="10"/>
      <color rgb="FF0D1B2A"/>
      <name val="Arial"/>
      <charset val="1"/>
    </font>
  </fonts>
  <fills count="24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3A5C"/>
        <bgColor rgb="FF374151"/>
      </patternFill>
    </fill>
    <fill>
      <patternFill patternType="solid">
        <fgColor rgb="FF2563EB"/>
        <bgColor rgb="FF0066CC"/>
      </patternFill>
    </fill>
    <fill>
      <patternFill patternType="solid">
        <fgColor rgb="FFF3F4F6"/>
        <bgColor rgb="FFEFF6FF"/>
      </patternFill>
    </fill>
    <fill>
      <patternFill patternType="solid">
        <fgColor rgb="FFDBEAFE"/>
        <bgColor rgb="FFEDE9FE"/>
      </patternFill>
    </fill>
    <fill>
      <patternFill patternType="solid">
        <fgColor rgb="FF0F766E"/>
        <bgColor rgb="FF008080"/>
      </patternFill>
    </fill>
    <fill>
      <patternFill patternType="solid">
        <fgColor rgb="FF92400E"/>
        <bgColor rgb="FF991B1B"/>
      </patternFill>
    </fill>
    <fill>
      <patternFill patternType="solid">
        <fgColor rgb="FF5B21B6"/>
        <bgColor rgb="FF800080"/>
      </patternFill>
    </fill>
    <fill>
      <patternFill patternType="solid">
        <fgColor rgb="FFFFFFFF"/>
        <bgColor rgb="FFFFFBEB"/>
      </patternFill>
    </fill>
    <fill>
      <patternFill patternType="solid">
        <fgColor rgb="FF991B1B"/>
        <bgColor rgb="FF800000"/>
      </patternFill>
    </fill>
    <fill>
      <patternFill patternType="solid">
        <fgColor rgb="FF166534"/>
        <bgColor rgb="FF0F766E"/>
      </patternFill>
    </fill>
    <fill>
      <patternFill patternType="solid">
        <fgColor rgb="FFCCFBF1"/>
        <bgColor rgb="FFDCFCE7"/>
      </patternFill>
    </fill>
    <fill>
      <patternFill patternType="solid">
        <fgColor rgb="FFFEE2E2"/>
        <bgColor rgb="FFFFEDD5"/>
      </patternFill>
    </fill>
    <fill>
      <patternFill patternType="solid">
        <fgColor rgb="FFFEF3C7"/>
        <bgColor rgb="FFFFEDD5"/>
      </patternFill>
    </fill>
    <fill>
      <patternFill patternType="solid">
        <fgColor rgb="FFDCFCE7"/>
        <bgColor rgb="FFCCFBF1"/>
      </patternFill>
    </fill>
    <fill>
      <patternFill patternType="solid">
        <fgColor rgb="FFEFF6FF"/>
        <bgColor rgb="FFF3F4F6"/>
      </patternFill>
    </fill>
    <fill>
      <patternFill patternType="solid">
        <fgColor rgb="FFF0FDFA"/>
        <bgColor rgb="FFF0FDF4"/>
      </patternFill>
    </fill>
    <fill>
      <patternFill patternType="solid">
        <fgColor rgb="FFFFF5F5"/>
        <bgColor rgb="FFFFFBEB"/>
      </patternFill>
    </fill>
    <fill>
      <patternFill patternType="solid">
        <fgColor rgb="FFFFFBEB"/>
        <bgColor rgb="FFFFF5F5"/>
      </patternFill>
    </fill>
    <fill>
      <patternFill patternType="solid">
        <fgColor rgb="FFF0FDF4"/>
        <bgColor rgb="FFF0FDFA"/>
      </patternFill>
    </fill>
    <fill>
      <patternFill patternType="solid">
        <fgColor rgb="FFEDE9FE"/>
        <bgColor rgb="FFF3F4F6"/>
      </patternFill>
    </fill>
    <fill>
      <patternFill patternType="solid">
        <fgColor rgb="FFFFEDD5"/>
        <bgColor rgb="FFFEF3C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4" fillId="2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9" fontId="6" fillId="6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164" fontId="6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165" fontId="13" fillId="6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horizontal="left" vertical="center" wrapText="1"/>
    </xf>
    <xf numFmtId="165" fontId="0" fillId="17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left" vertical="center" wrapText="1"/>
    </xf>
    <xf numFmtId="0" fontId="0" fillId="18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9" borderId="1" xfId="0" applyFill="1" applyBorder="1" applyAlignment="1">
      <alignment horizontal="left" vertical="center" wrapText="1"/>
    </xf>
    <xf numFmtId="0" fontId="0" fillId="20" borderId="1" xfId="0" applyFill="1" applyBorder="1" applyAlignment="1">
      <alignment horizontal="left" vertical="center" wrapText="1"/>
    </xf>
    <xf numFmtId="0" fontId="0" fillId="21" borderId="1" xfId="0" applyFill="1" applyBorder="1" applyAlignment="1">
      <alignment horizontal="left" vertical="center" wrapText="1"/>
    </xf>
    <xf numFmtId="165" fontId="0" fillId="6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14" borderId="1" xfId="0" applyFill="1" applyBorder="1" applyAlignment="1">
      <alignment horizontal="left" vertical="center" wrapText="1"/>
    </xf>
    <xf numFmtId="0" fontId="0" fillId="15" borderId="1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165" fontId="13" fillId="22" borderId="1" xfId="0" applyNumberFormat="1" applyFont="1" applyFill="1" applyBorder="1" applyAlignment="1">
      <alignment horizontal="center" vertical="center"/>
    </xf>
    <xf numFmtId="0" fontId="13" fillId="22" borderId="1" xfId="0" applyFont="1" applyFill="1" applyBorder="1" applyAlignment="1">
      <alignment horizontal="left" vertical="center" wrapText="1"/>
    </xf>
    <xf numFmtId="0" fontId="13" fillId="22" borderId="1" xfId="0" applyFont="1" applyFill="1" applyBorder="1" applyAlignment="1">
      <alignment horizontal="center" vertical="center"/>
    </xf>
    <xf numFmtId="165" fontId="13" fillId="10" borderId="1" xfId="0" applyNumberFormat="1" applyFon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165" fontId="5" fillId="10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18" fillId="6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18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center" vertical="center"/>
    </xf>
    <xf numFmtId="0" fontId="18" fillId="23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BEB"/>
      <rgbColor rgb="FFFF00FF"/>
      <rgbColor rgb="FF00FFFF"/>
      <rgbColor rgb="FF991B1B"/>
      <rgbColor rgb="FF166534"/>
      <rgbColor rgb="FF000080"/>
      <rgbColor rgb="FF808000"/>
      <rgbColor rgb="FF800080"/>
      <rgbColor rgb="FF0F766E"/>
      <rgbColor rgb="FFCCCCCC"/>
      <rgbColor rgb="FF808080"/>
      <rgbColor rgb="FFF0FDFA"/>
      <rgbColor rgb="FF993366"/>
      <rgbColor rgb="FFFEF3C7"/>
      <rgbColor rgb="FFCCFBF1"/>
      <rgbColor rgb="FF660066"/>
      <rgbColor rgb="FFFF8080"/>
      <rgbColor rgb="FF0066CC"/>
      <rgbColor rgb="FFDBEAFE"/>
      <rgbColor rgb="FF000080"/>
      <rgbColor rgb="FFFF00FF"/>
      <rgbColor rgb="FFFFF5F5"/>
      <rgbColor rgb="FF00FFFF"/>
      <rgbColor rgb="FF800080"/>
      <rgbColor rgb="FF800000"/>
      <rgbColor rgb="FF008080"/>
      <rgbColor rgb="FF0000FF"/>
      <rgbColor rgb="FF00CCFF"/>
      <rgbColor rgb="FFDCFCE7"/>
      <rgbColor rgb="FFF0FDF4"/>
      <rgbColor rgb="FFFFEDD5"/>
      <rgbColor rgb="FFEDE9FE"/>
      <rgbColor rgb="FFF3F4F6"/>
      <rgbColor rgb="FFEFF6FF"/>
      <rgbColor rgb="FFFEE2E2"/>
      <rgbColor rgb="FF2563EB"/>
      <rgbColor rgb="FF33CCCC"/>
      <rgbColor rgb="FF99CC00"/>
      <rgbColor rgb="FFFFCC00"/>
      <rgbColor rgb="FFFF9900"/>
      <rgbColor rgb="FFFF6600"/>
      <rgbColor rgb="FF666699"/>
      <rgbColor rgb="FF9CA3AF"/>
      <rgbColor rgb="FF1B3A5C"/>
      <rgbColor rgb="FF339966"/>
      <rgbColor rgb="FF0D1B2A"/>
      <rgbColor rgb="FF333300"/>
      <rgbColor rgb="FF92400E"/>
      <rgbColor rgb="FF993366"/>
      <rgbColor rgb="FF5B21B6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2A"/>
  </sheetPr>
  <dimension ref="B1:H33"/>
  <sheetViews>
    <sheetView showGridLines="0" topLeftCell="A8" zoomScaleNormal="100" workbookViewId="0">
      <selection activeCell="K19" sqref="K19"/>
    </sheetView>
  </sheetViews>
  <sheetFormatPr defaultColWidth="8.69140625" defaultRowHeight="14.6" x14ac:dyDescent="0.4"/>
  <cols>
    <col min="1" max="1" width="2" customWidth="1"/>
    <col min="2" max="2" width="22" customWidth="1"/>
    <col min="3" max="8" width="14" customWidth="1"/>
    <col min="9" max="9" width="2" customWidth="1"/>
  </cols>
  <sheetData>
    <row r="1" spans="2:8" ht="7.5" customHeight="1" x14ac:dyDescent="0.4"/>
    <row r="2" spans="2:8" ht="36" customHeight="1" x14ac:dyDescent="0.4">
      <c r="B2" s="12" t="s">
        <v>0</v>
      </c>
      <c r="C2" s="12"/>
      <c r="D2" s="12"/>
      <c r="E2" s="12"/>
      <c r="F2" s="12"/>
      <c r="G2" s="12"/>
      <c r="H2" s="12"/>
    </row>
    <row r="3" spans="2:8" ht="19.5" customHeight="1" x14ac:dyDescent="0.4">
      <c r="B3" s="11" t="s">
        <v>1</v>
      </c>
      <c r="C3" s="11"/>
      <c r="D3" s="11"/>
      <c r="E3" s="11"/>
      <c r="F3" s="11"/>
      <c r="G3" s="11"/>
      <c r="H3" s="11"/>
    </row>
    <row r="4" spans="2:8" ht="7.5" customHeight="1" x14ac:dyDescent="0.4"/>
    <row r="5" spans="2:8" ht="21.75" customHeight="1" x14ac:dyDescent="0.4">
      <c r="B5" s="10" t="s">
        <v>2</v>
      </c>
      <c r="C5" s="10"/>
      <c r="D5" s="10"/>
      <c r="E5" s="10"/>
      <c r="F5" s="10"/>
      <c r="G5" s="10"/>
      <c r="H5" s="10"/>
    </row>
    <row r="6" spans="2:8" ht="18" customHeight="1" x14ac:dyDescent="0.4">
      <c r="B6" s="13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3" t="s">
        <v>8</v>
      </c>
      <c r="H6" s="13" t="s">
        <v>9</v>
      </c>
    </row>
    <row r="7" spans="2:8" ht="37.299999999999997" x14ac:dyDescent="0.4">
      <c r="B7" s="14" t="s">
        <v>10</v>
      </c>
      <c r="C7" s="15" t="s">
        <v>11</v>
      </c>
      <c r="D7" s="16" t="s">
        <v>12</v>
      </c>
      <c r="E7" s="16">
        <v>120</v>
      </c>
      <c r="F7" s="17">
        <f>SUMIF(Journal!E:E,"Phase 1",Journal!D:D)</f>
        <v>0</v>
      </c>
      <c r="G7" s="18">
        <f>IF(E7&gt;0,F7/E7,0)</f>
        <v>0</v>
      </c>
      <c r="H7" s="19"/>
    </row>
    <row r="8" spans="2:8" ht="37.299999999999997" x14ac:dyDescent="0.4">
      <c r="B8" s="20" t="s">
        <v>13</v>
      </c>
      <c r="C8" s="15" t="s">
        <v>14</v>
      </c>
      <c r="D8" s="16" t="s">
        <v>12</v>
      </c>
      <c r="E8" s="16">
        <v>100</v>
      </c>
      <c r="F8" s="17">
        <f>SUMIF(Journal!E:E,"Phase 2",Journal!D:D)</f>
        <v>0</v>
      </c>
      <c r="G8" s="18">
        <f>IF(E8&gt;0,F8/E8,0)</f>
        <v>0</v>
      </c>
      <c r="H8" s="19"/>
    </row>
    <row r="9" spans="2:8" ht="49.75" x14ac:dyDescent="0.4">
      <c r="B9" s="21" t="s">
        <v>15</v>
      </c>
      <c r="C9" s="15" t="s">
        <v>16</v>
      </c>
      <c r="D9" s="16" t="s">
        <v>12</v>
      </c>
      <c r="E9" s="16">
        <v>160</v>
      </c>
      <c r="F9" s="17">
        <f>SUMIF(Journal!E:E,"Phase 3",Journal!D:D)</f>
        <v>0</v>
      </c>
      <c r="G9" s="18">
        <f>IF(E9&gt;0,F9/E9,0)</f>
        <v>0</v>
      </c>
      <c r="H9" s="19"/>
    </row>
    <row r="10" spans="2:8" ht="49.75" x14ac:dyDescent="0.4">
      <c r="B10" s="22" t="s">
        <v>17</v>
      </c>
      <c r="C10" s="15" t="s">
        <v>18</v>
      </c>
      <c r="D10" s="16" t="s">
        <v>12</v>
      </c>
      <c r="E10" s="16">
        <v>140</v>
      </c>
      <c r="F10" s="17">
        <f>SUMIF(Journal!E:E,"Phase 4",Journal!D:D)</f>
        <v>0</v>
      </c>
      <c r="G10" s="18">
        <f>IF(E10&gt;0,F10/E10,0)</f>
        <v>0</v>
      </c>
      <c r="H10" s="19"/>
    </row>
    <row r="12" spans="2:8" ht="7.5" customHeight="1" x14ac:dyDescent="0.4"/>
    <row r="13" spans="2:8" ht="21.75" customHeight="1" x14ac:dyDescent="0.4">
      <c r="B13" s="10" t="s">
        <v>19</v>
      </c>
      <c r="C13" s="10"/>
      <c r="D13" s="10"/>
      <c r="E13" s="10"/>
      <c r="F13" s="10"/>
      <c r="G13" s="10"/>
      <c r="H13" s="10"/>
    </row>
    <row r="14" spans="2:8" x14ac:dyDescent="0.4">
      <c r="B14" s="13" t="s">
        <v>20</v>
      </c>
      <c r="C14" s="13" t="s">
        <v>21</v>
      </c>
      <c r="D14" s="13" t="s">
        <v>7</v>
      </c>
      <c r="E14" s="13" t="s">
        <v>22</v>
      </c>
      <c r="F14" s="13" t="s">
        <v>23</v>
      </c>
    </row>
    <row r="15" spans="2:8" ht="19.5" customHeight="1" x14ac:dyDescent="0.4">
      <c r="B15" s="23" t="s">
        <v>24</v>
      </c>
      <c r="C15" s="24" t="s">
        <v>25</v>
      </c>
      <c r="D15" s="17">
        <f>SUMIF(Journal!F:F,C15,Journal!D:D)</f>
        <v>0</v>
      </c>
      <c r="E15" s="16">
        <f>COUNTIF(Journal!F:F,C15)</f>
        <v>0</v>
      </c>
      <c r="F15" s="18">
        <f>IF(SUM(Journal!D:D)&gt;0,D15/SUM(Journal!D:D),0)</f>
        <v>0</v>
      </c>
    </row>
    <row r="16" spans="2:8" ht="19.5" customHeight="1" x14ac:dyDescent="0.4">
      <c r="B16" s="25" t="s">
        <v>26</v>
      </c>
      <c r="C16" s="26" t="s">
        <v>27</v>
      </c>
      <c r="D16" s="27">
        <f>SUMIF(Journal!F:F,C16,Journal!D:D)</f>
        <v>0</v>
      </c>
      <c r="E16" s="28">
        <f>COUNTIF(Journal!F:F,C16)</f>
        <v>0</v>
      </c>
      <c r="F16" s="18">
        <f>IF(SUM(Journal!D:D)&gt;0,D16/SUM(Journal!D:D),0)</f>
        <v>0</v>
      </c>
    </row>
    <row r="17" spans="2:8" ht="19.5" customHeight="1" x14ac:dyDescent="0.4">
      <c r="B17" s="23" t="s">
        <v>28</v>
      </c>
      <c r="C17" s="24" t="s">
        <v>29</v>
      </c>
      <c r="D17" s="17">
        <f>SUMIF(Journal!F:F,C17,Journal!D:D)</f>
        <v>0</v>
      </c>
      <c r="E17" s="16">
        <f>COUNTIF(Journal!F:F,C17)</f>
        <v>0</v>
      </c>
      <c r="F17" s="18">
        <f>IF(SUM(Journal!D:D)&gt;0,D17/SUM(Journal!D:D),0)</f>
        <v>0</v>
      </c>
    </row>
    <row r="18" spans="2:8" ht="19.5" customHeight="1" x14ac:dyDescent="0.4">
      <c r="B18" s="25" t="s">
        <v>30</v>
      </c>
      <c r="C18" s="26" t="s">
        <v>31</v>
      </c>
      <c r="D18" s="27">
        <f>SUMIF(Journal!F:F,C18,Journal!D:D)</f>
        <v>0</v>
      </c>
      <c r="E18" s="28">
        <f>COUNTIF(Journal!F:F,C18)</f>
        <v>0</v>
      </c>
      <c r="F18" s="18">
        <f>IF(SUM(Journal!D:D)&gt;0,D18/SUM(Journal!D:D),0)</f>
        <v>0</v>
      </c>
    </row>
    <row r="19" spans="2:8" ht="19.5" customHeight="1" x14ac:dyDescent="0.4">
      <c r="B19" s="23" t="s">
        <v>32</v>
      </c>
      <c r="C19" s="24" t="s">
        <v>33</v>
      </c>
      <c r="D19" s="17">
        <f>SUMIF(Journal!F:F,C19,Journal!D:D)</f>
        <v>0</v>
      </c>
      <c r="E19" s="16">
        <f>COUNTIF(Journal!F:F,C19)</f>
        <v>0</v>
      </c>
      <c r="F19" s="18">
        <f>IF(SUM(Journal!D:D)&gt;0,D19/SUM(Journal!D:D),0)</f>
        <v>0</v>
      </c>
    </row>
    <row r="20" spans="2:8" ht="19.5" customHeight="1" x14ac:dyDescent="0.4">
      <c r="B20" s="25" t="s">
        <v>34</v>
      </c>
      <c r="C20" s="26" t="s">
        <v>35</v>
      </c>
      <c r="D20" s="27">
        <f>SUMIF(Journal!F:F,C20,Journal!D:D)</f>
        <v>4</v>
      </c>
      <c r="E20" s="28">
        <f>COUNTIF(Journal!F:F,C20)</f>
        <v>1</v>
      </c>
      <c r="F20" s="18">
        <f>IF(SUM(Journal!D:D)&gt;0,D20/SUM(Journal!D:D),0)</f>
        <v>1</v>
      </c>
    </row>
    <row r="21" spans="2:8" ht="19.5" customHeight="1" x14ac:dyDescent="0.4">
      <c r="B21" s="23" t="s">
        <v>36</v>
      </c>
      <c r="C21" s="24" t="s">
        <v>37</v>
      </c>
      <c r="D21" s="17">
        <f>SUMIF(Journal!F:F,C21,Journal!D:D)</f>
        <v>0</v>
      </c>
      <c r="E21" s="16">
        <f>COUNTIF(Journal!F:F,C21)</f>
        <v>0</v>
      </c>
      <c r="F21" s="18">
        <f>IF(SUM(Journal!D:D)&gt;0,D21/SUM(Journal!D:D),0)</f>
        <v>0</v>
      </c>
    </row>
    <row r="22" spans="2:8" ht="19.5" customHeight="1" x14ac:dyDescent="0.4">
      <c r="B22" s="25" t="s">
        <v>38</v>
      </c>
      <c r="C22" s="26" t="s">
        <v>39</v>
      </c>
      <c r="D22" s="27">
        <f>SUMIF(Journal!F:F,C22,Journal!D:D)</f>
        <v>0</v>
      </c>
      <c r="E22" s="28">
        <f>COUNTIF(Journal!F:F,C22)</f>
        <v>0</v>
      </c>
      <c r="F22" s="18">
        <f>IF(SUM(Journal!D:D)&gt;0,D22/SUM(Journal!D:D),0)</f>
        <v>0</v>
      </c>
    </row>
    <row r="23" spans="2:8" ht="19.5" customHeight="1" x14ac:dyDescent="0.4">
      <c r="B23" s="9" t="s">
        <v>40</v>
      </c>
      <c r="C23" s="9"/>
      <c r="D23" s="29">
        <f>SUM(Journal!D:D)</f>
        <v>4</v>
      </c>
    </row>
    <row r="24" spans="2:8" ht="7.5" customHeight="1" x14ac:dyDescent="0.4"/>
    <row r="25" spans="2:8" ht="21.75" customHeight="1" x14ac:dyDescent="0.4">
      <c r="B25" s="10" t="s">
        <v>41</v>
      </c>
      <c r="C25" s="10"/>
      <c r="D25" s="10"/>
      <c r="E25" s="10"/>
      <c r="F25" s="10"/>
      <c r="G25" s="10"/>
      <c r="H25" s="10"/>
    </row>
    <row r="26" spans="2:8" x14ac:dyDescent="0.4">
      <c r="B26" s="13" t="s">
        <v>42</v>
      </c>
      <c r="C26" s="13" t="s">
        <v>43</v>
      </c>
      <c r="D26" s="13" t="s">
        <v>44</v>
      </c>
    </row>
    <row r="27" spans="2:8" ht="25.75" x14ac:dyDescent="0.4">
      <c r="B27" s="23" t="s">
        <v>45</v>
      </c>
      <c r="C27" s="30">
        <f>COUNTA(Companies!B:B)-1</f>
        <v>11</v>
      </c>
      <c r="D27" s="24" t="s">
        <v>46</v>
      </c>
    </row>
    <row r="28" spans="2:8" ht="25.75" x14ac:dyDescent="0.4">
      <c r="B28" s="25" t="s">
        <v>47</v>
      </c>
      <c r="C28" s="30">
        <f>COUNTA(MetricStatus!B:B)-1</f>
        <v>76</v>
      </c>
      <c r="D28" s="26" t="s">
        <v>48</v>
      </c>
    </row>
    <row r="29" spans="2:8" ht="25.75" x14ac:dyDescent="0.4">
      <c r="B29" s="23" t="s">
        <v>49</v>
      </c>
      <c r="C29" s="31" t="s">
        <v>50</v>
      </c>
      <c r="D29" s="24" t="s">
        <v>51</v>
      </c>
    </row>
    <row r="30" spans="2:8" ht="25.75" x14ac:dyDescent="0.4">
      <c r="B30" s="25" t="s">
        <v>52</v>
      </c>
      <c r="C30" s="30">
        <f>COUNTA(Gaps!B:B)-1</f>
        <v>7</v>
      </c>
      <c r="D30" s="26" t="s">
        <v>53</v>
      </c>
    </row>
    <row r="31" spans="2:8" ht="25.75" x14ac:dyDescent="0.4">
      <c r="B31" s="23" t="s">
        <v>54</v>
      </c>
      <c r="C31" s="30">
        <f>COUNTA(Decisions!B:B)-1</f>
        <v>6</v>
      </c>
      <c r="D31" s="24" t="s">
        <v>55</v>
      </c>
    </row>
    <row r="32" spans="2:8" ht="25.75" x14ac:dyDescent="0.4">
      <c r="B32" s="25" t="s">
        <v>56</v>
      </c>
      <c r="C32" s="30">
        <f>COUNTA(Discoveries!B:B)-1</f>
        <v>4</v>
      </c>
      <c r="D32" s="26" t="s">
        <v>57</v>
      </c>
    </row>
    <row r="33" spans="2:4" ht="25.75" x14ac:dyDescent="0.4">
      <c r="B33" s="23" t="s">
        <v>58</v>
      </c>
      <c r="C33" s="30">
        <f>COUNTA(Reading!B:B)-1</f>
        <v>6</v>
      </c>
      <c r="D33" s="24" t="s">
        <v>59</v>
      </c>
    </row>
  </sheetData>
  <mergeCells count="6">
    <mergeCell ref="B25:H25"/>
    <mergeCell ref="B2:H2"/>
    <mergeCell ref="B3:H3"/>
    <mergeCell ref="B5:H5"/>
    <mergeCell ref="B13:H13"/>
    <mergeCell ref="B23:C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B1:L56"/>
  <sheetViews>
    <sheetView showGridLines="0" zoomScaleNormal="100" workbookViewId="0">
      <selection activeCell="H6" sqref="H6"/>
    </sheetView>
  </sheetViews>
  <sheetFormatPr defaultColWidth="8.69140625" defaultRowHeight="14.6" x14ac:dyDescent="0.4"/>
  <cols>
    <col min="1" max="1" width="2" customWidth="1"/>
    <col min="2" max="2" width="12" customWidth="1"/>
    <col min="3" max="3" width="10" customWidth="1"/>
    <col min="4" max="4" width="8" customWidth="1"/>
    <col min="5" max="5" width="10" customWidth="1"/>
    <col min="6" max="6" width="14" customWidth="1"/>
    <col min="7" max="7" width="16" customWidth="1"/>
    <col min="8" max="10" width="40" customWidth="1"/>
    <col min="11" max="12" width="30" customWidth="1"/>
    <col min="13" max="13" width="2" customWidth="1"/>
  </cols>
  <sheetData>
    <row r="1" spans="2:12" ht="7.5" customHeight="1" x14ac:dyDescent="0.4"/>
    <row r="2" spans="2:12" ht="31.5" customHeight="1" x14ac:dyDescent="0.4">
      <c r="B2" s="8" t="s">
        <v>60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ht="15.75" customHeight="1" x14ac:dyDescent="0.4">
      <c r="B3" s="7" t="s">
        <v>61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2:12" ht="7.5" customHeight="1" x14ac:dyDescent="0.4"/>
    <row r="5" spans="2:12" ht="39.75" customHeight="1" x14ac:dyDescent="0.4">
      <c r="B5" s="32" t="s">
        <v>62</v>
      </c>
      <c r="C5" s="32" t="s">
        <v>63</v>
      </c>
      <c r="D5" s="32" t="s">
        <v>64</v>
      </c>
      <c r="E5" s="32" t="s">
        <v>3</v>
      </c>
      <c r="F5" s="32" t="s">
        <v>20</v>
      </c>
      <c r="G5" s="32" t="s">
        <v>65</v>
      </c>
      <c r="H5" s="33" t="s">
        <v>66</v>
      </c>
      <c r="I5" s="34" t="s">
        <v>67</v>
      </c>
      <c r="J5" s="35" t="s">
        <v>68</v>
      </c>
      <c r="K5" s="36" t="s">
        <v>69</v>
      </c>
      <c r="L5" s="37" t="s">
        <v>70</v>
      </c>
    </row>
    <row r="6" spans="2:12" ht="91.75" customHeight="1" x14ac:dyDescent="0.4">
      <c r="B6" s="38">
        <v>46175</v>
      </c>
      <c r="C6" s="39">
        <v>1</v>
      </c>
      <c r="D6" s="40">
        <v>4</v>
      </c>
      <c r="E6" s="41" t="s">
        <v>71</v>
      </c>
      <c r="F6" s="42" t="s">
        <v>35</v>
      </c>
      <c r="G6" s="43" t="s">
        <v>72</v>
      </c>
      <c r="H6" s="41" t="s">
        <v>73</v>
      </c>
      <c r="I6" s="44" t="s">
        <v>74</v>
      </c>
      <c r="J6" s="42" t="s">
        <v>75</v>
      </c>
      <c r="K6" s="45" t="s">
        <v>76</v>
      </c>
      <c r="L6" s="46" t="s">
        <v>77</v>
      </c>
    </row>
    <row r="7" spans="2:12" ht="60" customHeight="1" x14ac:dyDescent="0.4">
      <c r="B7" s="47"/>
      <c r="C7" s="48"/>
      <c r="D7" s="49"/>
      <c r="E7" s="50"/>
      <c r="F7" s="51"/>
      <c r="G7" s="52"/>
      <c r="H7" s="50"/>
      <c r="I7" s="53"/>
      <c r="J7" s="51"/>
      <c r="K7" s="54"/>
      <c r="L7" s="55"/>
    </row>
    <row r="8" spans="2:12" ht="60" customHeight="1" x14ac:dyDescent="0.4">
      <c r="B8" s="56"/>
      <c r="C8" s="57"/>
      <c r="D8" s="58"/>
      <c r="E8" s="59"/>
      <c r="F8" s="60"/>
      <c r="G8" s="61"/>
      <c r="H8" s="59"/>
      <c r="I8" s="62"/>
      <c r="J8" s="60"/>
      <c r="K8" s="63"/>
      <c r="L8" s="64"/>
    </row>
    <row r="9" spans="2:12" ht="60" customHeight="1" x14ac:dyDescent="0.4">
      <c r="B9" s="47"/>
      <c r="C9" s="48"/>
      <c r="D9" s="49"/>
      <c r="E9" s="50"/>
      <c r="F9" s="51"/>
      <c r="G9" s="52"/>
      <c r="H9" s="50"/>
      <c r="I9" s="53"/>
      <c r="J9" s="51"/>
      <c r="K9" s="54"/>
      <c r="L9" s="55"/>
    </row>
    <row r="10" spans="2:12" ht="60" customHeight="1" x14ac:dyDescent="0.4">
      <c r="B10" s="56"/>
      <c r="C10" s="57"/>
      <c r="D10" s="58"/>
      <c r="E10" s="59"/>
      <c r="F10" s="60"/>
      <c r="G10" s="61"/>
      <c r="H10" s="59"/>
      <c r="I10" s="62"/>
      <c r="J10" s="60"/>
      <c r="K10" s="63"/>
      <c r="L10" s="64"/>
    </row>
    <row r="11" spans="2:12" ht="60" customHeight="1" x14ac:dyDescent="0.4">
      <c r="B11" s="47"/>
      <c r="C11" s="48"/>
      <c r="D11" s="49"/>
      <c r="E11" s="50"/>
      <c r="F11" s="51"/>
      <c r="G11" s="52"/>
      <c r="H11" s="50"/>
      <c r="I11" s="53"/>
      <c r="J11" s="51"/>
      <c r="K11" s="54"/>
      <c r="L11" s="55"/>
    </row>
    <row r="12" spans="2:12" ht="60" customHeight="1" x14ac:dyDescent="0.4">
      <c r="B12" s="56"/>
      <c r="C12" s="57"/>
      <c r="D12" s="58"/>
      <c r="E12" s="59"/>
      <c r="F12" s="60"/>
      <c r="G12" s="61"/>
      <c r="H12" s="59"/>
      <c r="I12" s="62"/>
      <c r="J12" s="60"/>
      <c r="K12" s="63"/>
      <c r="L12" s="64"/>
    </row>
    <row r="13" spans="2:12" ht="60" customHeight="1" x14ac:dyDescent="0.4">
      <c r="B13" s="47"/>
      <c r="C13" s="48"/>
      <c r="D13" s="49"/>
      <c r="E13" s="50"/>
      <c r="F13" s="51"/>
      <c r="G13" s="52"/>
      <c r="H13" s="50"/>
      <c r="I13" s="53"/>
      <c r="J13" s="51"/>
      <c r="K13" s="54"/>
      <c r="L13" s="55"/>
    </row>
    <row r="14" spans="2:12" ht="60" customHeight="1" x14ac:dyDescent="0.4">
      <c r="B14" s="56"/>
      <c r="C14" s="57"/>
      <c r="D14" s="58"/>
      <c r="E14" s="59"/>
      <c r="F14" s="60"/>
      <c r="G14" s="61"/>
      <c r="H14" s="59"/>
      <c r="I14" s="62"/>
      <c r="J14" s="60"/>
      <c r="K14" s="63"/>
      <c r="L14" s="64"/>
    </row>
    <row r="15" spans="2:12" ht="60" customHeight="1" x14ac:dyDescent="0.4">
      <c r="B15" s="47"/>
      <c r="C15" s="48"/>
      <c r="D15" s="49"/>
      <c r="E15" s="50"/>
      <c r="F15" s="51"/>
      <c r="G15" s="52"/>
      <c r="H15" s="50"/>
      <c r="I15" s="53"/>
      <c r="J15" s="51"/>
      <c r="K15" s="54"/>
      <c r="L15" s="55"/>
    </row>
    <row r="16" spans="2:12" ht="60" customHeight="1" x14ac:dyDescent="0.4">
      <c r="B16" s="56"/>
      <c r="C16" s="57"/>
      <c r="D16" s="58"/>
      <c r="E16" s="59"/>
      <c r="F16" s="60"/>
      <c r="G16" s="61"/>
      <c r="H16" s="59"/>
      <c r="I16" s="62"/>
      <c r="J16" s="60"/>
      <c r="K16" s="63"/>
      <c r="L16" s="64"/>
    </row>
    <row r="17" spans="2:12" ht="60" customHeight="1" x14ac:dyDescent="0.4">
      <c r="B17" s="47"/>
      <c r="C17" s="48"/>
      <c r="D17" s="49"/>
      <c r="E17" s="50"/>
      <c r="F17" s="51"/>
      <c r="G17" s="52"/>
      <c r="H17" s="50"/>
      <c r="I17" s="53"/>
      <c r="J17" s="51"/>
      <c r="K17" s="54"/>
      <c r="L17" s="55"/>
    </row>
    <row r="18" spans="2:12" ht="60" customHeight="1" x14ac:dyDescent="0.4">
      <c r="B18" s="56"/>
      <c r="C18" s="57"/>
      <c r="D18" s="58"/>
      <c r="E18" s="59"/>
      <c r="F18" s="60"/>
      <c r="G18" s="61"/>
      <c r="H18" s="59"/>
      <c r="I18" s="62"/>
      <c r="J18" s="60"/>
      <c r="K18" s="63"/>
      <c r="L18" s="64"/>
    </row>
    <row r="19" spans="2:12" ht="60" customHeight="1" x14ac:dyDescent="0.4">
      <c r="B19" s="47"/>
      <c r="C19" s="48"/>
      <c r="D19" s="49"/>
      <c r="E19" s="50"/>
      <c r="F19" s="51"/>
      <c r="G19" s="52"/>
      <c r="H19" s="50"/>
      <c r="I19" s="53"/>
      <c r="J19" s="51"/>
      <c r="K19" s="54"/>
      <c r="L19" s="55"/>
    </row>
    <row r="20" spans="2:12" ht="60" customHeight="1" x14ac:dyDescent="0.4">
      <c r="B20" s="56"/>
      <c r="C20" s="57"/>
      <c r="D20" s="58"/>
      <c r="E20" s="59"/>
      <c r="F20" s="60"/>
      <c r="G20" s="61"/>
      <c r="H20" s="59"/>
      <c r="I20" s="62"/>
      <c r="J20" s="60"/>
      <c r="K20" s="63"/>
      <c r="L20" s="64"/>
    </row>
    <row r="21" spans="2:12" ht="60" customHeight="1" x14ac:dyDescent="0.4">
      <c r="B21" s="47"/>
      <c r="C21" s="48"/>
      <c r="D21" s="49"/>
      <c r="E21" s="50"/>
      <c r="F21" s="51"/>
      <c r="G21" s="52"/>
      <c r="H21" s="50"/>
      <c r="I21" s="53"/>
      <c r="J21" s="51"/>
      <c r="K21" s="54"/>
      <c r="L21" s="55"/>
    </row>
    <row r="22" spans="2:12" ht="60" customHeight="1" x14ac:dyDescent="0.4">
      <c r="B22" s="56"/>
      <c r="C22" s="57"/>
      <c r="D22" s="58"/>
      <c r="E22" s="59"/>
      <c r="F22" s="60"/>
      <c r="G22" s="61"/>
      <c r="H22" s="59"/>
      <c r="I22" s="62"/>
      <c r="J22" s="60"/>
      <c r="K22" s="63"/>
      <c r="L22" s="64"/>
    </row>
    <row r="23" spans="2:12" ht="60" customHeight="1" x14ac:dyDescent="0.4">
      <c r="B23" s="47"/>
      <c r="C23" s="48"/>
      <c r="D23" s="49"/>
      <c r="E23" s="50"/>
      <c r="F23" s="51"/>
      <c r="G23" s="52"/>
      <c r="H23" s="50"/>
      <c r="I23" s="53"/>
      <c r="J23" s="51"/>
      <c r="K23" s="54"/>
      <c r="L23" s="55"/>
    </row>
    <row r="24" spans="2:12" ht="60" customHeight="1" x14ac:dyDescent="0.4">
      <c r="B24" s="56"/>
      <c r="C24" s="57"/>
      <c r="D24" s="58"/>
      <c r="E24" s="59"/>
      <c r="F24" s="60"/>
      <c r="G24" s="61"/>
      <c r="H24" s="59"/>
      <c r="I24" s="62"/>
      <c r="J24" s="60"/>
      <c r="K24" s="63"/>
      <c r="L24" s="64"/>
    </row>
    <row r="25" spans="2:12" ht="60" customHeight="1" x14ac:dyDescent="0.4">
      <c r="B25" s="47"/>
      <c r="C25" s="48"/>
      <c r="D25" s="49"/>
      <c r="E25" s="50"/>
      <c r="F25" s="51"/>
      <c r="G25" s="52"/>
      <c r="H25" s="50"/>
      <c r="I25" s="53"/>
      <c r="J25" s="51"/>
      <c r="K25" s="54"/>
      <c r="L25" s="55"/>
    </row>
    <row r="26" spans="2:12" ht="60" customHeight="1" x14ac:dyDescent="0.4">
      <c r="B26" s="56"/>
      <c r="C26" s="57"/>
      <c r="D26" s="58"/>
      <c r="E26" s="59"/>
      <c r="F26" s="60"/>
      <c r="G26" s="61"/>
      <c r="H26" s="59"/>
      <c r="I26" s="62"/>
      <c r="J26" s="60"/>
      <c r="K26" s="63"/>
      <c r="L26" s="64"/>
    </row>
    <row r="27" spans="2:12" ht="60" customHeight="1" x14ac:dyDescent="0.4">
      <c r="B27" s="47"/>
      <c r="C27" s="48"/>
      <c r="D27" s="49"/>
      <c r="E27" s="50"/>
      <c r="F27" s="51"/>
      <c r="G27" s="52"/>
      <c r="H27" s="50"/>
      <c r="I27" s="53"/>
      <c r="J27" s="51"/>
      <c r="K27" s="54"/>
      <c r="L27" s="55"/>
    </row>
    <row r="28" spans="2:12" ht="60" customHeight="1" x14ac:dyDescent="0.4">
      <c r="B28" s="56"/>
      <c r="C28" s="57"/>
      <c r="D28" s="58"/>
      <c r="E28" s="59"/>
      <c r="F28" s="60"/>
      <c r="G28" s="61"/>
      <c r="H28" s="59"/>
      <c r="I28" s="62"/>
      <c r="J28" s="60"/>
      <c r="K28" s="63"/>
      <c r="L28" s="64"/>
    </row>
    <row r="29" spans="2:12" ht="60" customHeight="1" x14ac:dyDescent="0.4">
      <c r="B29" s="47"/>
      <c r="C29" s="48"/>
      <c r="D29" s="49"/>
      <c r="E29" s="50"/>
      <c r="F29" s="51"/>
      <c r="G29" s="52"/>
      <c r="H29" s="50"/>
      <c r="I29" s="53"/>
      <c r="J29" s="51"/>
      <c r="K29" s="54"/>
      <c r="L29" s="55"/>
    </row>
    <row r="30" spans="2:12" ht="60" customHeight="1" x14ac:dyDescent="0.4">
      <c r="B30" s="56"/>
      <c r="C30" s="57"/>
      <c r="D30" s="58"/>
      <c r="E30" s="59"/>
      <c r="F30" s="60"/>
      <c r="G30" s="61"/>
      <c r="H30" s="59"/>
      <c r="I30" s="62"/>
      <c r="J30" s="60"/>
      <c r="K30" s="63"/>
      <c r="L30" s="64"/>
    </row>
    <row r="31" spans="2:12" ht="60" customHeight="1" x14ac:dyDescent="0.4">
      <c r="B31" s="47"/>
      <c r="C31" s="48"/>
      <c r="D31" s="49"/>
      <c r="E31" s="50"/>
      <c r="F31" s="51"/>
      <c r="G31" s="52"/>
      <c r="H31" s="50"/>
      <c r="I31" s="53"/>
      <c r="J31" s="51"/>
      <c r="K31" s="54"/>
      <c r="L31" s="55"/>
    </row>
    <row r="32" spans="2:12" ht="60" customHeight="1" x14ac:dyDescent="0.4">
      <c r="B32" s="56"/>
      <c r="C32" s="57"/>
      <c r="D32" s="58"/>
      <c r="E32" s="59"/>
      <c r="F32" s="60"/>
      <c r="G32" s="61"/>
      <c r="H32" s="59"/>
      <c r="I32" s="62"/>
      <c r="J32" s="60"/>
      <c r="K32" s="63"/>
      <c r="L32" s="64"/>
    </row>
    <row r="33" spans="2:12" ht="60" customHeight="1" x14ac:dyDescent="0.4">
      <c r="B33" s="47"/>
      <c r="C33" s="48"/>
      <c r="D33" s="49"/>
      <c r="E33" s="50"/>
      <c r="F33" s="51"/>
      <c r="G33" s="52"/>
      <c r="H33" s="50"/>
      <c r="I33" s="53"/>
      <c r="J33" s="51"/>
      <c r="K33" s="54"/>
      <c r="L33" s="55"/>
    </row>
    <row r="34" spans="2:12" ht="60" customHeight="1" x14ac:dyDescent="0.4">
      <c r="B34" s="56"/>
      <c r="C34" s="57"/>
      <c r="D34" s="58"/>
      <c r="E34" s="59"/>
      <c r="F34" s="60"/>
      <c r="G34" s="61"/>
      <c r="H34" s="59"/>
      <c r="I34" s="62"/>
      <c r="J34" s="60"/>
      <c r="K34" s="63"/>
      <c r="L34" s="64"/>
    </row>
    <row r="35" spans="2:12" ht="60" customHeight="1" x14ac:dyDescent="0.4">
      <c r="B35" s="47"/>
      <c r="C35" s="48"/>
      <c r="D35" s="49"/>
      <c r="E35" s="50"/>
      <c r="F35" s="51"/>
      <c r="G35" s="52"/>
      <c r="H35" s="50"/>
      <c r="I35" s="53"/>
      <c r="J35" s="51"/>
      <c r="K35" s="54"/>
      <c r="L35" s="55"/>
    </row>
    <row r="36" spans="2:12" ht="60" customHeight="1" x14ac:dyDescent="0.4">
      <c r="B36" s="56"/>
      <c r="C36" s="57"/>
      <c r="D36" s="58"/>
      <c r="E36" s="59"/>
      <c r="F36" s="60"/>
      <c r="G36" s="61"/>
      <c r="H36" s="59"/>
      <c r="I36" s="62"/>
      <c r="J36" s="60"/>
      <c r="K36" s="63"/>
      <c r="L36" s="64"/>
    </row>
    <row r="37" spans="2:12" ht="60" customHeight="1" x14ac:dyDescent="0.4">
      <c r="B37" s="47"/>
      <c r="C37" s="48"/>
      <c r="D37" s="49"/>
      <c r="E37" s="50"/>
      <c r="F37" s="51"/>
      <c r="G37" s="52"/>
      <c r="H37" s="50"/>
      <c r="I37" s="53"/>
      <c r="J37" s="51"/>
      <c r="K37" s="54"/>
      <c r="L37" s="55"/>
    </row>
    <row r="38" spans="2:12" ht="60" customHeight="1" x14ac:dyDescent="0.4">
      <c r="B38" s="56"/>
      <c r="C38" s="57"/>
      <c r="D38" s="58"/>
      <c r="E38" s="59"/>
      <c r="F38" s="60"/>
      <c r="G38" s="61"/>
      <c r="H38" s="59"/>
      <c r="I38" s="62"/>
      <c r="J38" s="60"/>
      <c r="K38" s="63"/>
      <c r="L38" s="64"/>
    </row>
    <row r="39" spans="2:12" ht="60" customHeight="1" x14ac:dyDescent="0.4">
      <c r="B39" s="47"/>
      <c r="C39" s="48"/>
      <c r="D39" s="49"/>
      <c r="E39" s="50"/>
      <c r="F39" s="51"/>
      <c r="G39" s="52"/>
      <c r="H39" s="50"/>
      <c r="I39" s="53"/>
      <c r="J39" s="51"/>
      <c r="K39" s="54"/>
      <c r="L39" s="55"/>
    </row>
    <row r="40" spans="2:12" ht="60" customHeight="1" x14ac:dyDescent="0.4">
      <c r="B40" s="56"/>
      <c r="C40" s="57"/>
      <c r="D40" s="58"/>
      <c r="E40" s="59"/>
      <c r="F40" s="60"/>
      <c r="G40" s="61"/>
      <c r="H40" s="59"/>
      <c r="I40" s="62"/>
      <c r="J40" s="60"/>
      <c r="K40" s="63"/>
      <c r="L40" s="64"/>
    </row>
    <row r="41" spans="2:12" ht="60" customHeight="1" x14ac:dyDescent="0.4">
      <c r="B41" s="47"/>
      <c r="C41" s="48"/>
      <c r="D41" s="49"/>
      <c r="E41" s="50"/>
      <c r="F41" s="51"/>
      <c r="G41" s="52"/>
      <c r="H41" s="50"/>
      <c r="I41" s="53"/>
      <c r="J41" s="51"/>
      <c r="K41" s="54"/>
      <c r="L41" s="55"/>
    </row>
    <row r="42" spans="2:12" ht="60" customHeight="1" x14ac:dyDescent="0.4">
      <c r="B42" s="56"/>
      <c r="C42" s="57"/>
      <c r="D42" s="58"/>
      <c r="E42" s="59"/>
      <c r="F42" s="60"/>
      <c r="G42" s="61"/>
      <c r="H42" s="59"/>
      <c r="I42" s="62"/>
      <c r="J42" s="60"/>
      <c r="K42" s="63"/>
      <c r="L42" s="64"/>
    </row>
    <row r="43" spans="2:12" ht="60" customHeight="1" x14ac:dyDescent="0.4">
      <c r="B43" s="47"/>
      <c r="C43" s="48"/>
      <c r="D43" s="49"/>
      <c r="E43" s="50"/>
      <c r="F43" s="51"/>
      <c r="G43" s="52"/>
      <c r="H43" s="50"/>
      <c r="I43" s="53"/>
      <c r="J43" s="51"/>
      <c r="K43" s="54"/>
      <c r="L43" s="55"/>
    </row>
    <row r="44" spans="2:12" ht="60" customHeight="1" x14ac:dyDescent="0.4">
      <c r="B44" s="56"/>
      <c r="C44" s="57"/>
      <c r="D44" s="58"/>
      <c r="E44" s="59"/>
      <c r="F44" s="60"/>
      <c r="G44" s="61"/>
      <c r="H44" s="59"/>
      <c r="I44" s="62"/>
      <c r="J44" s="60"/>
      <c r="K44" s="63"/>
      <c r="L44" s="64"/>
    </row>
    <row r="45" spans="2:12" ht="60" customHeight="1" x14ac:dyDescent="0.4">
      <c r="B45" s="47"/>
      <c r="C45" s="48"/>
      <c r="D45" s="49"/>
      <c r="E45" s="50"/>
      <c r="F45" s="51"/>
      <c r="G45" s="52"/>
      <c r="H45" s="50"/>
      <c r="I45" s="53"/>
      <c r="J45" s="51"/>
      <c r="K45" s="54"/>
      <c r="L45" s="55"/>
    </row>
    <row r="46" spans="2:12" ht="60" customHeight="1" x14ac:dyDescent="0.4">
      <c r="B46" s="56"/>
      <c r="C46" s="57"/>
      <c r="D46" s="58"/>
      <c r="E46" s="59"/>
      <c r="F46" s="60"/>
      <c r="G46" s="61"/>
      <c r="H46" s="59"/>
      <c r="I46" s="62"/>
      <c r="J46" s="60"/>
      <c r="K46" s="63"/>
      <c r="L46" s="64"/>
    </row>
    <row r="47" spans="2:12" ht="60" customHeight="1" x14ac:dyDescent="0.4">
      <c r="B47" s="47"/>
      <c r="C47" s="48"/>
      <c r="D47" s="49"/>
      <c r="E47" s="50"/>
      <c r="F47" s="51"/>
      <c r="G47" s="52"/>
      <c r="H47" s="50"/>
      <c r="I47" s="53"/>
      <c r="J47" s="51"/>
      <c r="K47" s="54"/>
      <c r="L47" s="55"/>
    </row>
    <row r="48" spans="2:12" ht="60" customHeight="1" x14ac:dyDescent="0.4">
      <c r="B48" s="56"/>
      <c r="C48" s="57"/>
      <c r="D48" s="58"/>
      <c r="E48" s="59"/>
      <c r="F48" s="60"/>
      <c r="G48" s="61"/>
      <c r="H48" s="59"/>
      <c r="I48" s="62"/>
      <c r="J48" s="60"/>
      <c r="K48" s="63"/>
      <c r="L48" s="64"/>
    </row>
    <row r="49" spans="2:12" ht="60" customHeight="1" x14ac:dyDescent="0.4">
      <c r="B49" s="47"/>
      <c r="C49" s="48"/>
      <c r="D49" s="49"/>
      <c r="E49" s="50"/>
      <c r="F49" s="51"/>
      <c r="G49" s="52"/>
      <c r="H49" s="50"/>
      <c r="I49" s="53"/>
      <c r="J49" s="51"/>
      <c r="K49" s="54"/>
      <c r="L49" s="55"/>
    </row>
    <row r="50" spans="2:12" ht="60" customHeight="1" x14ac:dyDescent="0.4">
      <c r="B50" s="56"/>
      <c r="C50" s="57"/>
      <c r="D50" s="58"/>
      <c r="E50" s="59"/>
      <c r="F50" s="60"/>
      <c r="G50" s="61"/>
      <c r="H50" s="59"/>
      <c r="I50" s="62"/>
      <c r="J50" s="60"/>
      <c r="K50" s="63"/>
      <c r="L50" s="64"/>
    </row>
    <row r="51" spans="2:12" ht="60" customHeight="1" x14ac:dyDescent="0.4">
      <c r="B51" s="47"/>
      <c r="C51" s="48"/>
      <c r="D51" s="49"/>
      <c r="E51" s="50"/>
      <c r="F51" s="51"/>
      <c r="G51" s="52"/>
      <c r="H51" s="50"/>
      <c r="I51" s="53"/>
      <c r="J51" s="51"/>
      <c r="K51" s="54"/>
      <c r="L51" s="55"/>
    </row>
    <row r="52" spans="2:12" ht="60" customHeight="1" x14ac:dyDescent="0.4">
      <c r="B52" s="56"/>
      <c r="C52" s="57"/>
      <c r="D52" s="58"/>
      <c r="E52" s="59"/>
      <c r="F52" s="60"/>
      <c r="G52" s="61"/>
      <c r="H52" s="59"/>
      <c r="I52" s="62"/>
      <c r="J52" s="60"/>
      <c r="K52" s="63"/>
      <c r="L52" s="64"/>
    </row>
    <row r="53" spans="2:12" ht="60" customHeight="1" x14ac:dyDescent="0.4">
      <c r="B53" s="47"/>
      <c r="C53" s="48"/>
      <c r="D53" s="49"/>
      <c r="E53" s="50"/>
      <c r="F53" s="51"/>
      <c r="G53" s="52"/>
      <c r="H53" s="50"/>
      <c r="I53" s="53"/>
      <c r="J53" s="51"/>
      <c r="K53" s="54"/>
      <c r="L53" s="55"/>
    </row>
    <row r="54" spans="2:12" ht="60" customHeight="1" x14ac:dyDescent="0.4">
      <c r="B54" s="56"/>
      <c r="C54" s="57"/>
      <c r="D54" s="58"/>
      <c r="E54" s="59"/>
      <c r="F54" s="60"/>
      <c r="G54" s="61"/>
      <c r="H54" s="59"/>
      <c r="I54" s="62"/>
      <c r="J54" s="60"/>
      <c r="K54" s="63"/>
      <c r="L54" s="64"/>
    </row>
    <row r="55" spans="2:12" ht="60" customHeight="1" x14ac:dyDescent="0.4">
      <c r="B55" s="47"/>
      <c r="C55" s="48"/>
      <c r="D55" s="49"/>
      <c r="E55" s="50"/>
      <c r="F55" s="51"/>
      <c r="G55" s="52"/>
      <c r="H55" s="50"/>
      <c r="I55" s="53"/>
      <c r="J55" s="51"/>
      <c r="K55" s="54"/>
      <c r="L55" s="55"/>
    </row>
    <row r="56" spans="2:12" ht="60" customHeight="1" x14ac:dyDescent="0.4">
      <c r="B56" s="56"/>
      <c r="C56" s="57"/>
      <c r="D56" s="58"/>
      <c r="E56" s="59"/>
      <c r="F56" s="60"/>
      <c r="G56" s="61"/>
      <c r="H56" s="59"/>
      <c r="I56" s="62"/>
      <c r="J56" s="60"/>
      <c r="K56" s="63"/>
      <c r="L56" s="64"/>
    </row>
  </sheetData>
  <mergeCells count="2">
    <mergeCell ref="B2:L2"/>
    <mergeCell ref="B3:L3"/>
  </mergeCells>
  <dataValidations count="2">
    <dataValidation type="list" allowBlank="1" sqref="E6:E56" xr:uid="{00000000-0002-0000-0100-000000000000}">
      <formula1>"Phase 0,Phase 1,Phase 2,Phase 3,Phase 4"</formula1>
      <formula2>0</formula2>
    </dataValidation>
    <dataValidation type="list" allowBlank="1" sqref="F6:F56" xr:uid="{00000000-0002-0000-0100-000001000000}">
      <formula1>"Pipeline,Database,API,Dashboard,PowerBI,Documentation,Research,Testing"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766E"/>
  </sheetPr>
  <dimension ref="B1:I38"/>
  <sheetViews>
    <sheetView showGridLines="0" topLeftCell="A3" zoomScaleNormal="100" workbookViewId="0"/>
  </sheetViews>
  <sheetFormatPr defaultColWidth="8.69140625" defaultRowHeight="14.6" x14ac:dyDescent="0.4"/>
  <cols>
    <col min="1" max="1" width="2" customWidth="1"/>
    <col min="2" max="2" width="10" customWidth="1"/>
    <col min="3" max="3" width="12" customWidth="1"/>
    <col min="4" max="4" width="8" customWidth="1"/>
    <col min="5" max="5" width="22" customWidth="1"/>
    <col min="6" max="7" width="30" customWidth="1"/>
    <col min="8" max="8" width="28" customWidth="1"/>
    <col min="9" max="9" width="20" customWidth="1"/>
    <col min="10" max="10" width="2" customWidth="1"/>
  </cols>
  <sheetData>
    <row r="1" spans="2:9" ht="7.5" customHeight="1" x14ac:dyDescent="0.4"/>
    <row r="2" spans="2:9" ht="30" customHeight="1" x14ac:dyDescent="0.4">
      <c r="B2" s="6" t="s">
        <v>78</v>
      </c>
      <c r="C2" s="6"/>
      <c r="D2" s="6"/>
      <c r="E2" s="6"/>
      <c r="F2" s="6"/>
      <c r="G2" s="6"/>
      <c r="H2" s="6"/>
      <c r="I2" s="6"/>
    </row>
    <row r="3" spans="2:9" ht="36" customHeight="1" x14ac:dyDescent="0.4">
      <c r="B3" s="65" t="s">
        <v>79</v>
      </c>
      <c r="C3" s="65" t="s">
        <v>62</v>
      </c>
      <c r="D3" s="65" t="s">
        <v>3</v>
      </c>
      <c r="E3" s="65" t="s">
        <v>80</v>
      </c>
      <c r="F3" s="65" t="s">
        <v>81</v>
      </c>
      <c r="G3" s="65" t="s">
        <v>82</v>
      </c>
      <c r="H3" s="65" t="s">
        <v>83</v>
      </c>
      <c r="I3" s="65" t="s">
        <v>84</v>
      </c>
    </row>
    <row r="4" spans="2:9" ht="69.75" customHeight="1" x14ac:dyDescent="0.4">
      <c r="B4" s="66" t="s">
        <v>85</v>
      </c>
      <c r="C4" s="42" t="s">
        <v>86</v>
      </c>
      <c r="D4" s="67" t="s">
        <v>10</v>
      </c>
      <c r="E4" s="42" t="s">
        <v>87</v>
      </c>
      <c r="F4" s="42" t="s">
        <v>88</v>
      </c>
      <c r="G4" s="42" t="s">
        <v>89</v>
      </c>
      <c r="H4" s="42" t="s">
        <v>90</v>
      </c>
      <c r="I4" s="42" t="s">
        <v>91</v>
      </c>
    </row>
    <row r="5" spans="2:9" ht="69.75" customHeight="1" x14ac:dyDescent="0.4">
      <c r="B5" s="66" t="s">
        <v>92</v>
      </c>
      <c r="C5" s="68" t="s">
        <v>86</v>
      </c>
      <c r="D5" s="69" t="s">
        <v>10</v>
      </c>
      <c r="E5" s="68" t="s">
        <v>93</v>
      </c>
      <c r="F5" s="68" t="s">
        <v>94</v>
      </c>
      <c r="G5" s="68" t="s">
        <v>95</v>
      </c>
      <c r="H5" s="68" t="s">
        <v>96</v>
      </c>
      <c r="I5" s="68" t="s">
        <v>97</v>
      </c>
    </row>
    <row r="6" spans="2:9" ht="69.75" customHeight="1" x14ac:dyDescent="0.4">
      <c r="B6" s="66" t="s">
        <v>98</v>
      </c>
      <c r="C6" s="42" t="s">
        <v>86</v>
      </c>
      <c r="D6" s="67" t="s">
        <v>10</v>
      </c>
      <c r="E6" s="42" t="s">
        <v>99</v>
      </c>
      <c r="F6" s="42" t="s">
        <v>100</v>
      </c>
      <c r="G6" s="42" t="s">
        <v>101</v>
      </c>
      <c r="H6" s="42" t="s">
        <v>102</v>
      </c>
      <c r="I6" s="42" t="s">
        <v>103</v>
      </c>
    </row>
    <row r="7" spans="2:9" ht="69.75" customHeight="1" x14ac:dyDescent="0.4">
      <c r="B7" s="66" t="s">
        <v>104</v>
      </c>
      <c r="C7" s="68" t="s">
        <v>86</v>
      </c>
      <c r="D7" s="69" t="s">
        <v>10</v>
      </c>
      <c r="E7" s="68" t="s">
        <v>105</v>
      </c>
      <c r="F7" s="68" t="s">
        <v>106</v>
      </c>
      <c r="G7" s="68" t="s">
        <v>107</v>
      </c>
      <c r="H7" s="68" t="s">
        <v>108</v>
      </c>
      <c r="I7" s="68" t="s">
        <v>109</v>
      </c>
    </row>
    <row r="8" spans="2:9" ht="69.75" customHeight="1" x14ac:dyDescent="0.4">
      <c r="B8" s="66" t="s">
        <v>110</v>
      </c>
      <c r="C8" s="42" t="s">
        <v>86</v>
      </c>
      <c r="D8" s="67" t="s">
        <v>10</v>
      </c>
      <c r="E8" s="42" t="s">
        <v>111</v>
      </c>
      <c r="F8" s="42" t="s">
        <v>112</v>
      </c>
      <c r="G8" s="42" t="s">
        <v>113</v>
      </c>
      <c r="H8" s="42" t="s">
        <v>114</v>
      </c>
      <c r="I8" s="42" t="s">
        <v>115</v>
      </c>
    </row>
    <row r="9" spans="2:9" ht="49.5" customHeight="1" x14ac:dyDescent="0.4">
      <c r="B9" s="60"/>
      <c r="C9" s="60"/>
      <c r="D9" s="70"/>
      <c r="E9" s="60"/>
      <c r="F9" s="60"/>
      <c r="G9" s="60"/>
      <c r="H9" s="60"/>
      <c r="I9" s="60"/>
    </row>
    <row r="10" spans="2:9" ht="49.5" customHeight="1" x14ac:dyDescent="0.4">
      <c r="B10" s="52"/>
      <c r="C10" s="52"/>
      <c r="D10" s="48"/>
      <c r="E10" s="52"/>
      <c r="F10" s="52"/>
      <c r="G10" s="52"/>
      <c r="H10" s="52"/>
      <c r="I10" s="52"/>
    </row>
    <row r="11" spans="2:9" ht="49.5" customHeight="1" x14ac:dyDescent="0.4">
      <c r="B11" s="60"/>
      <c r="C11" s="60"/>
      <c r="D11" s="70"/>
      <c r="E11" s="60"/>
      <c r="F11" s="60"/>
      <c r="G11" s="60"/>
      <c r="H11" s="60"/>
      <c r="I11" s="60"/>
    </row>
    <row r="12" spans="2:9" ht="49.5" customHeight="1" x14ac:dyDescent="0.4">
      <c r="B12" s="52"/>
      <c r="C12" s="52"/>
      <c r="D12" s="48"/>
      <c r="E12" s="52"/>
      <c r="F12" s="52"/>
      <c r="G12" s="52"/>
      <c r="H12" s="52"/>
      <c r="I12" s="52"/>
    </row>
    <row r="13" spans="2:9" ht="49.5" customHeight="1" x14ac:dyDescent="0.4">
      <c r="B13" s="60"/>
      <c r="C13" s="60"/>
      <c r="D13" s="70"/>
      <c r="E13" s="60"/>
      <c r="F13" s="60"/>
      <c r="G13" s="60"/>
      <c r="H13" s="60"/>
      <c r="I13" s="60"/>
    </row>
    <row r="14" spans="2:9" ht="49.5" customHeight="1" x14ac:dyDescent="0.4">
      <c r="B14" s="52"/>
      <c r="C14" s="52"/>
      <c r="D14" s="48"/>
      <c r="E14" s="52"/>
      <c r="F14" s="52"/>
      <c r="G14" s="52"/>
      <c r="H14" s="52"/>
      <c r="I14" s="52"/>
    </row>
    <row r="15" spans="2:9" ht="49.5" customHeight="1" x14ac:dyDescent="0.4">
      <c r="B15" s="60"/>
      <c r="C15" s="60"/>
      <c r="D15" s="70"/>
      <c r="E15" s="60"/>
      <c r="F15" s="60"/>
      <c r="G15" s="60"/>
      <c r="H15" s="60"/>
      <c r="I15" s="60"/>
    </row>
    <row r="16" spans="2:9" ht="49.5" customHeight="1" x14ac:dyDescent="0.4">
      <c r="B16" s="52"/>
      <c r="C16" s="52"/>
      <c r="D16" s="48"/>
      <c r="E16" s="52"/>
      <c r="F16" s="52"/>
      <c r="G16" s="52"/>
      <c r="H16" s="52"/>
      <c r="I16" s="52"/>
    </row>
    <row r="17" spans="2:9" ht="49.5" customHeight="1" x14ac:dyDescent="0.4">
      <c r="B17" s="60"/>
      <c r="C17" s="60"/>
      <c r="D17" s="70"/>
      <c r="E17" s="60"/>
      <c r="F17" s="60"/>
      <c r="G17" s="60"/>
      <c r="H17" s="60"/>
      <c r="I17" s="60"/>
    </row>
    <row r="18" spans="2:9" ht="49.5" customHeight="1" x14ac:dyDescent="0.4">
      <c r="B18" s="52"/>
      <c r="C18" s="52"/>
      <c r="D18" s="48"/>
      <c r="E18" s="52"/>
      <c r="F18" s="52"/>
      <c r="G18" s="52"/>
      <c r="H18" s="52"/>
      <c r="I18" s="52"/>
    </row>
    <row r="19" spans="2:9" ht="49.5" customHeight="1" x14ac:dyDescent="0.4">
      <c r="B19" s="60"/>
      <c r="C19" s="60"/>
      <c r="D19" s="70"/>
      <c r="E19" s="60"/>
      <c r="F19" s="60"/>
      <c r="G19" s="60"/>
      <c r="H19" s="60"/>
      <c r="I19" s="60"/>
    </row>
    <row r="20" spans="2:9" ht="49.5" customHeight="1" x14ac:dyDescent="0.4">
      <c r="B20" s="52"/>
      <c r="C20" s="52"/>
      <c r="D20" s="48"/>
      <c r="E20" s="52"/>
      <c r="F20" s="52"/>
      <c r="G20" s="52"/>
      <c r="H20" s="52"/>
      <c r="I20" s="52"/>
    </row>
    <row r="21" spans="2:9" ht="49.5" customHeight="1" x14ac:dyDescent="0.4">
      <c r="B21" s="60"/>
      <c r="C21" s="60"/>
      <c r="D21" s="70"/>
      <c r="E21" s="60"/>
      <c r="F21" s="60"/>
      <c r="G21" s="60"/>
      <c r="H21" s="60"/>
      <c r="I21" s="60"/>
    </row>
    <row r="22" spans="2:9" ht="49.5" customHeight="1" x14ac:dyDescent="0.4">
      <c r="B22" s="52"/>
      <c r="C22" s="52"/>
      <c r="D22" s="48"/>
      <c r="E22" s="52"/>
      <c r="F22" s="52"/>
      <c r="G22" s="52"/>
      <c r="H22" s="52"/>
      <c r="I22" s="52"/>
    </row>
    <row r="23" spans="2:9" ht="49.5" customHeight="1" x14ac:dyDescent="0.4">
      <c r="B23" s="60"/>
      <c r="C23" s="60"/>
      <c r="D23" s="70"/>
      <c r="E23" s="60"/>
      <c r="F23" s="60"/>
      <c r="G23" s="60"/>
      <c r="H23" s="60"/>
      <c r="I23" s="60"/>
    </row>
    <row r="24" spans="2:9" ht="49.5" customHeight="1" x14ac:dyDescent="0.4">
      <c r="B24" s="52"/>
      <c r="C24" s="52"/>
      <c r="D24" s="48"/>
      <c r="E24" s="52"/>
      <c r="F24" s="52"/>
      <c r="G24" s="52"/>
      <c r="H24" s="52"/>
      <c r="I24" s="52"/>
    </row>
    <row r="25" spans="2:9" ht="49.5" customHeight="1" x14ac:dyDescent="0.4">
      <c r="B25" s="60"/>
      <c r="C25" s="60"/>
      <c r="D25" s="70"/>
      <c r="E25" s="60"/>
      <c r="F25" s="60"/>
      <c r="G25" s="60"/>
      <c r="H25" s="60"/>
      <c r="I25" s="60"/>
    </row>
    <row r="26" spans="2:9" ht="49.5" customHeight="1" x14ac:dyDescent="0.4">
      <c r="B26" s="52"/>
      <c r="C26" s="52"/>
      <c r="D26" s="48"/>
      <c r="E26" s="52"/>
      <c r="F26" s="52"/>
      <c r="G26" s="52"/>
      <c r="H26" s="52"/>
      <c r="I26" s="52"/>
    </row>
    <row r="27" spans="2:9" ht="49.5" customHeight="1" x14ac:dyDescent="0.4">
      <c r="B27" s="60"/>
      <c r="C27" s="60"/>
      <c r="D27" s="70"/>
      <c r="E27" s="60"/>
      <c r="F27" s="60"/>
      <c r="G27" s="60"/>
      <c r="H27" s="60"/>
      <c r="I27" s="60"/>
    </row>
    <row r="28" spans="2:9" ht="49.5" customHeight="1" x14ac:dyDescent="0.4">
      <c r="B28" s="52"/>
      <c r="C28" s="52"/>
      <c r="D28" s="48"/>
      <c r="E28" s="52"/>
      <c r="F28" s="52"/>
      <c r="G28" s="52"/>
      <c r="H28" s="52"/>
      <c r="I28" s="52"/>
    </row>
    <row r="29" spans="2:9" ht="49.5" customHeight="1" x14ac:dyDescent="0.4">
      <c r="B29" s="60"/>
      <c r="C29" s="60"/>
      <c r="D29" s="70"/>
      <c r="E29" s="60"/>
      <c r="F29" s="60"/>
      <c r="G29" s="60"/>
      <c r="H29" s="60"/>
      <c r="I29" s="60"/>
    </row>
    <row r="30" spans="2:9" ht="49.5" customHeight="1" x14ac:dyDescent="0.4">
      <c r="B30" s="52"/>
      <c r="C30" s="52"/>
      <c r="D30" s="48"/>
      <c r="E30" s="52"/>
      <c r="F30" s="52"/>
      <c r="G30" s="52"/>
      <c r="H30" s="52"/>
      <c r="I30" s="52"/>
    </row>
    <row r="31" spans="2:9" ht="49.5" customHeight="1" x14ac:dyDescent="0.4">
      <c r="B31" s="60"/>
      <c r="C31" s="60"/>
      <c r="D31" s="70"/>
      <c r="E31" s="60"/>
      <c r="F31" s="60"/>
      <c r="G31" s="60"/>
      <c r="H31" s="60"/>
      <c r="I31" s="60"/>
    </row>
    <row r="32" spans="2:9" ht="49.5" customHeight="1" x14ac:dyDescent="0.4">
      <c r="B32" s="52"/>
      <c r="C32" s="52"/>
      <c r="D32" s="48"/>
      <c r="E32" s="52"/>
      <c r="F32" s="52"/>
      <c r="G32" s="52"/>
      <c r="H32" s="52"/>
      <c r="I32" s="52"/>
    </row>
    <row r="33" spans="2:9" ht="49.5" customHeight="1" x14ac:dyDescent="0.4">
      <c r="B33" s="60"/>
      <c r="C33" s="60"/>
      <c r="D33" s="70"/>
      <c r="E33" s="60"/>
      <c r="F33" s="60"/>
      <c r="G33" s="60"/>
      <c r="H33" s="60"/>
      <c r="I33" s="60"/>
    </row>
    <row r="34" spans="2:9" ht="49.5" customHeight="1" x14ac:dyDescent="0.4">
      <c r="B34" s="52"/>
      <c r="C34" s="52"/>
      <c r="D34" s="48"/>
      <c r="E34" s="52"/>
      <c r="F34" s="52"/>
      <c r="G34" s="52"/>
      <c r="H34" s="52"/>
      <c r="I34" s="52"/>
    </row>
    <row r="35" spans="2:9" ht="49.5" customHeight="1" x14ac:dyDescent="0.4">
      <c r="B35" s="60"/>
      <c r="C35" s="60"/>
      <c r="D35" s="70"/>
      <c r="E35" s="60"/>
      <c r="F35" s="60"/>
      <c r="G35" s="60"/>
      <c r="H35" s="60"/>
      <c r="I35" s="60"/>
    </row>
    <row r="36" spans="2:9" ht="49.5" customHeight="1" x14ac:dyDescent="0.4">
      <c r="B36" s="52"/>
      <c r="C36" s="52"/>
      <c r="D36" s="48"/>
      <c r="E36" s="52"/>
      <c r="F36" s="52"/>
      <c r="G36" s="52"/>
      <c r="H36" s="52"/>
      <c r="I36" s="52"/>
    </row>
    <row r="37" spans="2:9" ht="49.5" customHeight="1" x14ac:dyDescent="0.4">
      <c r="B37" s="60"/>
      <c r="C37" s="60"/>
      <c r="D37" s="70"/>
      <c r="E37" s="60"/>
      <c r="F37" s="60"/>
      <c r="G37" s="60"/>
      <c r="H37" s="60"/>
      <c r="I37" s="60"/>
    </row>
    <row r="38" spans="2:9" ht="49.5" customHeight="1" x14ac:dyDescent="0.4">
      <c r="B38" s="52"/>
      <c r="C38" s="52"/>
      <c r="D38" s="48"/>
      <c r="E38" s="52"/>
      <c r="F38" s="52"/>
      <c r="G38" s="52"/>
      <c r="H38" s="52"/>
      <c r="I38" s="52"/>
    </row>
  </sheetData>
  <mergeCells count="1">
    <mergeCell ref="B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400E"/>
  </sheetPr>
  <dimension ref="B1:H56"/>
  <sheetViews>
    <sheetView showGridLines="0" zoomScaleNormal="100" workbookViewId="0">
      <selection activeCell="G1" sqref="G1:G1048576"/>
    </sheetView>
  </sheetViews>
  <sheetFormatPr defaultColWidth="8.69140625" defaultRowHeight="14.6" x14ac:dyDescent="0.4"/>
  <cols>
    <col min="1" max="1" width="2" customWidth="1"/>
    <col min="2" max="2" width="10" customWidth="1"/>
    <col min="3" max="3" width="13.07421875" bestFit="1" customWidth="1"/>
    <col min="4" max="4" width="22" customWidth="1"/>
    <col min="5" max="6" width="35" customWidth="1"/>
    <col min="7" max="7" width="33.84375" bestFit="1" customWidth="1"/>
    <col min="8" max="8" width="2" customWidth="1"/>
  </cols>
  <sheetData>
    <row r="1" spans="2:8" ht="7.5" customHeight="1" x14ac:dyDescent="0.4"/>
    <row r="2" spans="2:8" ht="30" customHeight="1" x14ac:dyDescent="0.4">
      <c r="B2" s="5" t="s">
        <v>116</v>
      </c>
      <c r="C2" s="5"/>
      <c r="D2" s="5"/>
      <c r="E2" s="5"/>
      <c r="F2" s="5"/>
      <c r="G2" s="5"/>
      <c r="H2" s="5"/>
    </row>
    <row r="3" spans="2:8" ht="13.5" customHeight="1" x14ac:dyDescent="0.4">
      <c r="B3" s="4" t="s">
        <v>117</v>
      </c>
      <c r="C3" s="4"/>
      <c r="D3" s="4"/>
      <c r="E3" s="4"/>
      <c r="F3" s="4"/>
      <c r="G3" s="4"/>
      <c r="H3" s="4"/>
    </row>
    <row r="4" spans="2:8" ht="31.5" customHeight="1" x14ac:dyDescent="0.4">
      <c r="B4" s="21" t="s">
        <v>62</v>
      </c>
      <c r="C4" s="21" t="s">
        <v>3</v>
      </c>
      <c r="D4" s="21" t="s">
        <v>118</v>
      </c>
      <c r="E4" s="21" t="s">
        <v>119</v>
      </c>
      <c r="F4" s="21" t="s">
        <v>120</v>
      </c>
      <c r="G4" s="21" t="s">
        <v>121</v>
      </c>
    </row>
    <row r="5" spans="2:8" ht="69.75" customHeight="1" x14ac:dyDescent="0.4">
      <c r="B5" s="71" t="s">
        <v>86</v>
      </c>
      <c r="C5" s="71" t="s">
        <v>122</v>
      </c>
      <c r="D5" s="45" t="s">
        <v>123</v>
      </c>
      <c r="E5" s="45" t="s">
        <v>124</v>
      </c>
      <c r="F5" s="45" t="s">
        <v>125</v>
      </c>
      <c r="G5" s="45" t="s">
        <v>126</v>
      </c>
    </row>
    <row r="6" spans="2:8" ht="69.75" customHeight="1" x14ac:dyDescent="0.4">
      <c r="B6" s="69" t="s">
        <v>86</v>
      </c>
      <c r="C6" s="69" t="s">
        <v>122</v>
      </c>
      <c r="D6" s="68" t="s">
        <v>127</v>
      </c>
      <c r="E6" s="68" t="s">
        <v>128</v>
      </c>
      <c r="F6" s="68" t="s">
        <v>129</v>
      </c>
      <c r="G6" s="68" t="s">
        <v>130</v>
      </c>
    </row>
    <row r="7" spans="2:8" ht="54.75" customHeight="1" x14ac:dyDescent="0.4">
      <c r="B7" s="72"/>
      <c r="C7" s="72"/>
      <c r="D7" s="63"/>
      <c r="E7" s="63"/>
      <c r="F7" s="63"/>
      <c r="G7" s="63"/>
      <c r="H7" s="63"/>
    </row>
    <row r="8" spans="2:8" ht="54.75" customHeight="1" x14ac:dyDescent="0.4">
      <c r="B8" s="48"/>
      <c r="C8" s="48"/>
      <c r="D8" s="52"/>
      <c r="E8" s="52"/>
      <c r="F8" s="52"/>
      <c r="G8" s="52"/>
      <c r="H8" s="52"/>
    </row>
    <row r="9" spans="2:8" ht="54.75" customHeight="1" x14ac:dyDescent="0.4">
      <c r="B9" s="72"/>
      <c r="C9" s="72"/>
      <c r="D9" s="63"/>
      <c r="E9" s="63"/>
      <c r="F9" s="63"/>
      <c r="G9" s="63"/>
      <c r="H9" s="63"/>
    </row>
    <row r="10" spans="2:8" ht="54.75" customHeight="1" x14ac:dyDescent="0.4">
      <c r="B10" s="48"/>
      <c r="C10" s="48"/>
      <c r="D10" s="52"/>
      <c r="E10" s="52"/>
      <c r="F10" s="52"/>
      <c r="G10" s="52"/>
      <c r="H10" s="52"/>
    </row>
    <row r="11" spans="2:8" ht="54.75" customHeight="1" x14ac:dyDescent="0.4">
      <c r="B11" s="72"/>
      <c r="C11" s="72"/>
      <c r="D11" s="63"/>
      <c r="E11" s="63"/>
      <c r="F11" s="63"/>
      <c r="G11" s="63"/>
      <c r="H11" s="63"/>
    </row>
    <row r="12" spans="2:8" ht="54.75" customHeight="1" x14ac:dyDescent="0.4">
      <c r="B12" s="48"/>
      <c r="C12" s="48"/>
      <c r="D12" s="52"/>
      <c r="E12" s="52"/>
      <c r="F12" s="52"/>
      <c r="G12" s="52"/>
      <c r="H12" s="52"/>
    </row>
    <row r="13" spans="2:8" ht="54.75" customHeight="1" x14ac:dyDescent="0.4">
      <c r="B13" s="72"/>
      <c r="C13" s="72"/>
      <c r="D13" s="63"/>
      <c r="E13" s="63"/>
      <c r="F13" s="63"/>
      <c r="G13" s="63"/>
      <c r="H13" s="63"/>
    </row>
    <row r="14" spans="2:8" ht="54.75" customHeight="1" x14ac:dyDescent="0.4">
      <c r="B14" s="48"/>
      <c r="C14" s="48"/>
      <c r="D14" s="52"/>
      <c r="E14" s="52"/>
      <c r="F14" s="52"/>
      <c r="G14" s="52"/>
      <c r="H14" s="52"/>
    </row>
    <row r="15" spans="2:8" ht="54.75" customHeight="1" x14ac:dyDescent="0.4">
      <c r="B15" s="72"/>
      <c r="C15" s="72"/>
      <c r="D15" s="63"/>
      <c r="E15" s="63"/>
      <c r="F15" s="63"/>
      <c r="G15" s="63"/>
      <c r="H15" s="63"/>
    </row>
    <row r="16" spans="2:8" ht="54.75" customHeight="1" x14ac:dyDescent="0.4">
      <c r="B16" s="48"/>
      <c r="C16" s="48"/>
      <c r="D16" s="52"/>
      <c r="E16" s="52"/>
      <c r="F16" s="52"/>
      <c r="G16" s="52"/>
      <c r="H16" s="52"/>
    </row>
    <row r="17" spans="2:8" ht="54.75" customHeight="1" x14ac:dyDescent="0.4">
      <c r="B17" s="72"/>
      <c r="C17" s="72"/>
      <c r="D17" s="63"/>
      <c r="E17" s="63"/>
      <c r="F17" s="63"/>
      <c r="G17" s="63"/>
      <c r="H17" s="63"/>
    </row>
    <row r="18" spans="2:8" ht="54.75" customHeight="1" x14ac:dyDescent="0.4">
      <c r="B18" s="48"/>
      <c r="C18" s="48"/>
      <c r="D18" s="52"/>
      <c r="E18" s="52"/>
      <c r="F18" s="52"/>
      <c r="G18" s="52"/>
      <c r="H18" s="52"/>
    </row>
    <row r="19" spans="2:8" ht="54.75" customHeight="1" x14ac:dyDescent="0.4">
      <c r="B19" s="72"/>
      <c r="C19" s="72"/>
      <c r="D19" s="63"/>
      <c r="E19" s="63"/>
      <c r="F19" s="63"/>
      <c r="G19" s="63"/>
      <c r="H19" s="63"/>
    </row>
    <row r="20" spans="2:8" ht="54.75" customHeight="1" x14ac:dyDescent="0.4">
      <c r="B20" s="48"/>
      <c r="C20" s="48"/>
      <c r="D20" s="52"/>
      <c r="E20" s="52"/>
      <c r="F20" s="52"/>
      <c r="G20" s="52"/>
      <c r="H20" s="52"/>
    </row>
    <row r="21" spans="2:8" ht="54.75" customHeight="1" x14ac:dyDescent="0.4">
      <c r="B21" s="72"/>
      <c r="C21" s="72"/>
      <c r="D21" s="63"/>
      <c r="E21" s="63"/>
      <c r="F21" s="63"/>
      <c r="G21" s="63"/>
      <c r="H21" s="63"/>
    </row>
    <row r="22" spans="2:8" ht="54.75" customHeight="1" x14ac:dyDescent="0.4">
      <c r="B22" s="48"/>
      <c r="C22" s="48"/>
      <c r="D22" s="52"/>
      <c r="E22" s="52"/>
      <c r="F22" s="52"/>
      <c r="G22" s="52"/>
      <c r="H22" s="52"/>
    </row>
    <row r="23" spans="2:8" ht="54.75" customHeight="1" x14ac:dyDescent="0.4">
      <c r="B23" s="72"/>
      <c r="C23" s="72"/>
      <c r="D23" s="63"/>
      <c r="E23" s="63"/>
      <c r="F23" s="63"/>
      <c r="G23" s="63"/>
      <c r="H23" s="63"/>
    </row>
    <row r="24" spans="2:8" ht="54.75" customHeight="1" x14ac:dyDescent="0.4">
      <c r="B24" s="48"/>
      <c r="C24" s="48"/>
      <c r="D24" s="52"/>
      <c r="E24" s="52"/>
      <c r="F24" s="52"/>
      <c r="G24" s="52"/>
      <c r="H24" s="52"/>
    </row>
    <row r="25" spans="2:8" ht="54.75" customHeight="1" x14ac:dyDescent="0.4">
      <c r="B25" s="72"/>
      <c r="C25" s="72"/>
      <c r="D25" s="63"/>
      <c r="E25" s="63"/>
      <c r="F25" s="63"/>
      <c r="G25" s="63"/>
      <c r="H25" s="63"/>
    </row>
    <row r="26" spans="2:8" ht="54.75" customHeight="1" x14ac:dyDescent="0.4">
      <c r="B26" s="48"/>
      <c r="C26" s="48"/>
      <c r="D26" s="52"/>
      <c r="E26" s="52"/>
      <c r="F26" s="52"/>
      <c r="G26" s="52"/>
      <c r="H26" s="52"/>
    </row>
    <row r="27" spans="2:8" ht="54.75" customHeight="1" x14ac:dyDescent="0.4">
      <c r="B27" s="72"/>
      <c r="C27" s="72"/>
      <c r="D27" s="63"/>
      <c r="E27" s="63"/>
      <c r="F27" s="63"/>
      <c r="G27" s="63"/>
      <c r="H27" s="63"/>
    </row>
    <row r="28" spans="2:8" ht="54.75" customHeight="1" x14ac:dyDescent="0.4">
      <c r="B28" s="48"/>
      <c r="C28" s="48"/>
      <c r="D28" s="52"/>
      <c r="E28" s="52"/>
      <c r="F28" s="52"/>
      <c r="G28" s="52"/>
      <c r="H28" s="52"/>
    </row>
    <row r="29" spans="2:8" ht="54.75" customHeight="1" x14ac:dyDescent="0.4">
      <c r="B29" s="72"/>
      <c r="C29" s="72"/>
      <c r="D29" s="63"/>
      <c r="E29" s="63"/>
      <c r="F29" s="63"/>
      <c r="G29" s="63"/>
      <c r="H29" s="63"/>
    </row>
    <row r="30" spans="2:8" ht="54.75" customHeight="1" x14ac:dyDescent="0.4">
      <c r="B30" s="48"/>
      <c r="C30" s="48"/>
      <c r="D30" s="52"/>
      <c r="E30" s="52"/>
      <c r="F30" s="52"/>
      <c r="G30" s="52"/>
      <c r="H30" s="52"/>
    </row>
    <row r="31" spans="2:8" ht="54.75" customHeight="1" x14ac:dyDescent="0.4">
      <c r="B31" s="72"/>
      <c r="C31" s="72"/>
      <c r="D31" s="63"/>
      <c r="E31" s="63"/>
      <c r="F31" s="63"/>
      <c r="G31" s="63"/>
      <c r="H31" s="63"/>
    </row>
    <row r="32" spans="2:8" ht="54.75" customHeight="1" x14ac:dyDescent="0.4">
      <c r="B32" s="48"/>
      <c r="C32" s="48"/>
      <c r="D32" s="52"/>
      <c r="E32" s="52"/>
      <c r="F32" s="52"/>
      <c r="G32" s="52"/>
      <c r="H32" s="52"/>
    </row>
    <row r="33" spans="2:8" ht="54.75" customHeight="1" x14ac:dyDescent="0.4">
      <c r="B33" s="72"/>
      <c r="C33" s="72"/>
      <c r="D33" s="63"/>
      <c r="E33" s="63"/>
      <c r="F33" s="63"/>
      <c r="G33" s="63"/>
      <c r="H33" s="63"/>
    </row>
    <row r="34" spans="2:8" ht="54.75" customHeight="1" x14ac:dyDescent="0.4">
      <c r="B34" s="48"/>
      <c r="C34" s="48"/>
      <c r="D34" s="52"/>
      <c r="E34" s="52"/>
      <c r="F34" s="52"/>
      <c r="G34" s="52"/>
      <c r="H34" s="52"/>
    </row>
    <row r="35" spans="2:8" ht="54.75" customHeight="1" x14ac:dyDescent="0.4">
      <c r="B35" s="72"/>
      <c r="C35" s="72"/>
      <c r="D35" s="63"/>
      <c r="E35" s="63"/>
      <c r="F35" s="63"/>
      <c r="G35" s="63"/>
      <c r="H35" s="63"/>
    </row>
    <row r="36" spans="2:8" ht="54.75" customHeight="1" x14ac:dyDescent="0.4">
      <c r="B36" s="48"/>
      <c r="C36" s="48"/>
      <c r="D36" s="52"/>
      <c r="E36" s="52"/>
      <c r="F36" s="52"/>
      <c r="G36" s="52"/>
      <c r="H36" s="52"/>
    </row>
    <row r="37" spans="2:8" ht="54.75" customHeight="1" x14ac:dyDescent="0.4">
      <c r="B37" s="72"/>
      <c r="C37" s="72"/>
      <c r="D37" s="63"/>
      <c r="E37" s="63"/>
      <c r="F37" s="63"/>
      <c r="G37" s="63"/>
      <c r="H37" s="63"/>
    </row>
    <row r="38" spans="2:8" ht="54.75" customHeight="1" x14ac:dyDescent="0.4">
      <c r="B38" s="48"/>
      <c r="C38" s="48"/>
      <c r="D38" s="52"/>
      <c r="E38" s="52"/>
      <c r="F38" s="52"/>
      <c r="G38" s="52"/>
      <c r="H38" s="52"/>
    </row>
    <row r="39" spans="2:8" ht="54.75" customHeight="1" x14ac:dyDescent="0.4">
      <c r="B39" s="72"/>
      <c r="C39" s="72"/>
      <c r="D39" s="63"/>
      <c r="E39" s="63"/>
      <c r="F39" s="63"/>
      <c r="G39" s="63"/>
      <c r="H39" s="63"/>
    </row>
    <row r="40" spans="2:8" ht="54.75" customHeight="1" x14ac:dyDescent="0.4">
      <c r="B40" s="48"/>
      <c r="C40" s="48"/>
      <c r="D40" s="52"/>
      <c r="E40" s="52"/>
      <c r="F40" s="52"/>
      <c r="G40" s="52"/>
      <c r="H40" s="52"/>
    </row>
    <row r="41" spans="2:8" ht="54.75" customHeight="1" x14ac:dyDescent="0.4">
      <c r="B41" s="72"/>
      <c r="C41" s="72"/>
      <c r="D41" s="63"/>
      <c r="E41" s="63"/>
      <c r="F41" s="63"/>
      <c r="G41" s="63"/>
      <c r="H41" s="63"/>
    </row>
    <row r="42" spans="2:8" ht="54.75" customHeight="1" x14ac:dyDescent="0.4">
      <c r="B42" s="48"/>
      <c r="C42" s="48"/>
      <c r="D42" s="52"/>
      <c r="E42" s="52"/>
      <c r="F42" s="52"/>
      <c r="G42" s="52"/>
      <c r="H42" s="52"/>
    </row>
    <row r="43" spans="2:8" ht="54.75" customHeight="1" x14ac:dyDescent="0.4">
      <c r="B43" s="72"/>
      <c r="C43" s="72"/>
      <c r="D43" s="63"/>
      <c r="E43" s="63"/>
      <c r="F43" s="63"/>
      <c r="G43" s="63"/>
      <c r="H43" s="63"/>
    </row>
    <row r="44" spans="2:8" ht="54.75" customHeight="1" x14ac:dyDescent="0.4">
      <c r="B44" s="48"/>
      <c r="C44" s="48"/>
      <c r="D44" s="52"/>
      <c r="E44" s="52"/>
      <c r="F44" s="52"/>
      <c r="G44" s="52"/>
      <c r="H44" s="52"/>
    </row>
    <row r="45" spans="2:8" ht="54.75" customHeight="1" x14ac:dyDescent="0.4">
      <c r="B45" s="72"/>
      <c r="C45" s="72"/>
      <c r="D45" s="63"/>
      <c r="E45" s="63"/>
      <c r="F45" s="63"/>
      <c r="G45" s="63"/>
      <c r="H45" s="63"/>
    </row>
    <row r="46" spans="2:8" ht="54.75" customHeight="1" x14ac:dyDescent="0.4">
      <c r="B46" s="48"/>
      <c r="C46" s="48"/>
      <c r="D46" s="52"/>
      <c r="E46" s="52"/>
      <c r="F46" s="52"/>
      <c r="G46" s="52"/>
      <c r="H46" s="52"/>
    </row>
    <row r="47" spans="2:8" ht="54.75" customHeight="1" x14ac:dyDescent="0.4">
      <c r="B47" s="72"/>
      <c r="C47" s="72"/>
      <c r="D47" s="63"/>
      <c r="E47" s="63"/>
      <c r="F47" s="63"/>
      <c r="G47" s="63"/>
      <c r="H47" s="63"/>
    </row>
    <row r="48" spans="2:8" ht="54.75" customHeight="1" x14ac:dyDescent="0.4">
      <c r="B48" s="48"/>
      <c r="C48" s="48"/>
      <c r="D48" s="52"/>
      <c r="E48" s="52"/>
      <c r="F48" s="52"/>
      <c r="G48" s="52"/>
      <c r="H48" s="52"/>
    </row>
    <row r="49" spans="2:8" ht="54.75" customHeight="1" x14ac:dyDescent="0.4">
      <c r="B49" s="72"/>
      <c r="C49" s="72"/>
      <c r="D49" s="63"/>
      <c r="E49" s="63"/>
      <c r="F49" s="63"/>
      <c r="G49" s="63"/>
      <c r="H49" s="63"/>
    </row>
    <row r="50" spans="2:8" ht="54.75" customHeight="1" x14ac:dyDescent="0.4">
      <c r="B50" s="48"/>
      <c r="C50" s="48"/>
      <c r="D50" s="52"/>
      <c r="E50" s="52"/>
      <c r="F50" s="52"/>
      <c r="G50" s="52"/>
      <c r="H50" s="52"/>
    </row>
    <row r="51" spans="2:8" ht="54.75" customHeight="1" x14ac:dyDescent="0.4">
      <c r="B51" s="72"/>
      <c r="C51" s="72"/>
      <c r="D51" s="63"/>
      <c r="E51" s="63"/>
      <c r="F51" s="63"/>
      <c r="G51" s="63"/>
      <c r="H51" s="63"/>
    </row>
    <row r="52" spans="2:8" ht="54.75" customHeight="1" x14ac:dyDescent="0.4">
      <c r="B52" s="48"/>
      <c r="C52" s="48"/>
      <c r="D52" s="52"/>
      <c r="E52" s="52"/>
      <c r="F52" s="52"/>
      <c r="G52" s="52"/>
      <c r="H52" s="52"/>
    </row>
    <row r="53" spans="2:8" ht="54.75" customHeight="1" x14ac:dyDescent="0.4">
      <c r="B53" s="72"/>
      <c r="C53" s="72"/>
      <c r="D53" s="63"/>
      <c r="E53" s="63"/>
      <c r="F53" s="63"/>
      <c r="G53" s="63"/>
      <c r="H53" s="63"/>
    </row>
    <row r="54" spans="2:8" ht="54.75" customHeight="1" x14ac:dyDescent="0.4">
      <c r="B54" s="48"/>
      <c r="C54" s="48"/>
      <c r="D54" s="52"/>
      <c r="E54" s="52"/>
      <c r="F54" s="52"/>
      <c r="G54" s="52"/>
      <c r="H54" s="52"/>
    </row>
    <row r="55" spans="2:8" ht="54.75" customHeight="1" x14ac:dyDescent="0.4">
      <c r="B55" s="72"/>
      <c r="C55" s="72"/>
      <c r="D55" s="63"/>
      <c r="E55" s="63"/>
      <c r="F55" s="63"/>
      <c r="G55" s="63"/>
      <c r="H55" s="63"/>
    </row>
    <row r="56" spans="2:8" ht="54.75" customHeight="1" x14ac:dyDescent="0.4">
      <c r="B56" s="48"/>
      <c r="C56" s="48"/>
      <c r="D56" s="52"/>
      <c r="E56" s="52"/>
      <c r="F56" s="52"/>
      <c r="G56" s="52"/>
      <c r="H56" s="52"/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1B1B"/>
  </sheetPr>
  <dimension ref="B1:I49"/>
  <sheetViews>
    <sheetView showGridLines="0" zoomScaleNormal="100" workbookViewId="0"/>
  </sheetViews>
  <sheetFormatPr defaultColWidth="8.69140625" defaultRowHeight="14.6" x14ac:dyDescent="0.4"/>
  <cols>
    <col min="1" max="1" width="2" customWidth="1"/>
    <col min="2" max="2" width="10" customWidth="1"/>
    <col min="3" max="3" width="12" customWidth="1"/>
    <col min="4" max="4" width="16" customWidth="1"/>
    <col min="5" max="6" width="28" customWidth="1"/>
    <col min="7" max="7" width="66.765625" bestFit="1" customWidth="1"/>
    <col min="8" max="8" width="12" customWidth="1"/>
    <col min="9" max="9" width="7.3828125" bestFit="1" customWidth="1"/>
  </cols>
  <sheetData>
    <row r="1" spans="2:9" ht="7.5" customHeight="1" x14ac:dyDescent="0.4"/>
    <row r="2" spans="2:9" ht="30" customHeight="1" x14ac:dyDescent="0.4">
      <c r="B2" s="3" t="s">
        <v>131</v>
      </c>
      <c r="C2" s="3"/>
      <c r="D2" s="3"/>
      <c r="E2" s="3"/>
      <c r="F2" s="3"/>
      <c r="G2" s="3"/>
      <c r="H2" s="3"/>
      <c r="I2" s="3"/>
    </row>
    <row r="3" spans="2:9" ht="31.5" customHeight="1" x14ac:dyDescent="0.4">
      <c r="B3" s="73" t="s">
        <v>132</v>
      </c>
      <c r="C3" s="73" t="s">
        <v>133</v>
      </c>
      <c r="D3" s="73" t="s">
        <v>134</v>
      </c>
      <c r="E3" s="73" t="s">
        <v>4</v>
      </c>
      <c r="F3" s="73" t="s">
        <v>135</v>
      </c>
      <c r="G3" s="73" t="s">
        <v>136</v>
      </c>
      <c r="H3" s="73" t="s">
        <v>3</v>
      </c>
      <c r="I3" s="73" t="s">
        <v>5</v>
      </c>
    </row>
    <row r="4" spans="2:9" ht="54.75" customHeight="1" x14ac:dyDescent="0.4">
      <c r="B4" s="74" t="s">
        <v>137</v>
      </c>
      <c r="C4" s="39" t="s">
        <v>86</v>
      </c>
      <c r="D4" s="43" t="s">
        <v>138</v>
      </c>
      <c r="E4" s="43" t="s">
        <v>139</v>
      </c>
      <c r="F4" s="43" t="s">
        <v>140</v>
      </c>
      <c r="G4" s="39" t="s">
        <v>141</v>
      </c>
      <c r="H4" s="43" t="s">
        <v>71</v>
      </c>
      <c r="I4" s="75" t="s">
        <v>142</v>
      </c>
    </row>
    <row r="5" spans="2:9" ht="54.75" customHeight="1" x14ac:dyDescent="0.4">
      <c r="B5" s="76" t="s">
        <v>143</v>
      </c>
      <c r="C5" s="69" t="s">
        <v>86</v>
      </c>
      <c r="D5" s="68" t="s">
        <v>144</v>
      </c>
      <c r="E5" s="68" t="s">
        <v>145</v>
      </c>
      <c r="F5" s="68" t="s">
        <v>146</v>
      </c>
      <c r="G5" s="69" t="s">
        <v>147</v>
      </c>
      <c r="H5" s="68" t="s">
        <v>10</v>
      </c>
      <c r="I5" s="77" t="s">
        <v>148</v>
      </c>
    </row>
    <row r="6" spans="2:9" ht="54.75" customHeight="1" x14ac:dyDescent="0.4">
      <c r="B6" s="74" t="s">
        <v>149</v>
      </c>
      <c r="C6" s="39" t="s">
        <v>86</v>
      </c>
      <c r="D6" s="43" t="s">
        <v>150</v>
      </c>
      <c r="E6" s="43" t="s">
        <v>151</v>
      </c>
      <c r="F6" s="43" t="s">
        <v>152</v>
      </c>
      <c r="G6" s="39" t="s">
        <v>153</v>
      </c>
      <c r="H6" s="43" t="s">
        <v>15</v>
      </c>
      <c r="I6" s="71" t="s">
        <v>154</v>
      </c>
    </row>
    <row r="7" spans="2:9" ht="54.75" customHeight="1" x14ac:dyDescent="0.4">
      <c r="B7" s="76" t="s">
        <v>155</v>
      </c>
      <c r="C7" s="69" t="s">
        <v>86</v>
      </c>
      <c r="D7" s="68" t="s">
        <v>156</v>
      </c>
      <c r="E7" s="68" t="s">
        <v>157</v>
      </c>
      <c r="F7" s="68" t="s">
        <v>158</v>
      </c>
      <c r="G7" s="69" t="s">
        <v>159</v>
      </c>
      <c r="H7" s="68" t="s">
        <v>160</v>
      </c>
      <c r="I7" s="71" t="s">
        <v>154</v>
      </c>
    </row>
    <row r="8" spans="2:9" ht="54.75" customHeight="1" x14ac:dyDescent="0.4">
      <c r="B8" s="74" t="s">
        <v>161</v>
      </c>
      <c r="C8" s="39" t="s">
        <v>86</v>
      </c>
      <c r="D8" s="43" t="s">
        <v>162</v>
      </c>
      <c r="E8" s="43" t="s">
        <v>163</v>
      </c>
      <c r="F8" s="43" t="s">
        <v>164</v>
      </c>
      <c r="G8" s="39" t="s">
        <v>165</v>
      </c>
      <c r="H8" s="43" t="s">
        <v>15</v>
      </c>
      <c r="I8" s="71" t="s">
        <v>154</v>
      </c>
    </row>
    <row r="9" spans="2:9" ht="54.75" customHeight="1" x14ac:dyDescent="0.4">
      <c r="B9" s="76" t="s">
        <v>166</v>
      </c>
      <c r="C9" s="69" t="s">
        <v>86</v>
      </c>
      <c r="D9" s="68" t="s">
        <v>167</v>
      </c>
      <c r="E9" s="68" t="s">
        <v>168</v>
      </c>
      <c r="F9" s="68" t="s">
        <v>169</v>
      </c>
      <c r="G9" s="69" t="s">
        <v>170</v>
      </c>
      <c r="H9" s="68" t="s">
        <v>10</v>
      </c>
      <c r="I9" s="75" t="s">
        <v>142</v>
      </c>
    </row>
    <row r="10" spans="2:9" ht="45" customHeight="1" x14ac:dyDescent="0.4">
      <c r="B10" s="57"/>
      <c r="C10" s="57"/>
      <c r="D10" s="61"/>
      <c r="E10" s="61"/>
      <c r="F10" s="61"/>
      <c r="G10" s="57"/>
      <c r="H10" s="61"/>
      <c r="I10" s="57"/>
    </row>
    <row r="11" spans="2:9" ht="45" customHeight="1" x14ac:dyDescent="0.4">
      <c r="B11" s="48"/>
      <c r="C11" s="48"/>
      <c r="D11" s="52"/>
      <c r="E11" s="52"/>
      <c r="F11" s="52"/>
      <c r="G11" s="48"/>
      <c r="H11" s="52"/>
      <c r="I11" s="48"/>
    </row>
    <row r="12" spans="2:9" ht="45" customHeight="1" x14ac:dyDescent="0.4">
      <c r="B12" s="57"/>
      <c r="C12" s="57"/>
      <c r="D12" s="61"/>
      <c r="E12" s="61"/>
      <c r="F12" s="61"/>
      <c r="G12" s="57"/>
      <c r="H12" s="61"/>
      <c r="I12" s="57"/>
    </row>
    <row r="13" spans="2:9" ht="45" customHeight="1" x14ac:dyDescent="0.4">
      <c r="B13" s="48"/>
      <c r="C13" s="48"/>
      <c r="D13" s="52"/>
      <c r="E13" s="52"/>
      <c r="F13" s="52"/>
      <c r="G13" s="48"/>
      <c r="H13" s="52"/>
      <c r="I13" s="48"/>
    </row>
    <row r="14" spans="2:9" ht="45" customHeight="1" x14ac:dyDescent="0.4">
      <c r="B14" s="57"/>
      <c r="C14" s="57"/>
      <c r="D14" s="61"/>
      <c r="E14" s="61"/>
      <c r="F14" s="61"/>
      <c r="G14" s="57"/>
      <c r="H14" s="61"/>
      <c r="I14" s="57"/>
    </row>
    <row r="15" spans="2:9" ht="45" customHeight="1" x14ac:dyDescent="0.4">
      <c r="B15" s="48"/>
      <c r="C15" s="48"/>
      <c r="D15" s="52"/>
      <c r="E15" s="52"/>
      <c r="F15" s="52"/>
      <c r="G15" s="48"/>
      <c r="H15" s="52"/>
      <c r="I15" s="48"/>
    </row>
    <row r="16" spans="2:9" ht="45" customHeight="1" x14ac:dyDescent="0.4">
      <c r="B16" s="57"/>
      <c r="C16" s="57"/>
      <c r="D16" s="61"/>
      <c r="E16" s="61"/>
      <c r="F16" s="61"/>
      <c r="G16" s="57"/>
      <c r="H16" s="61"/>
      <c r="I16" s="57"/>
    </row>
    <row r="17" spans="2:9" ht="45" customHeight="1" x14ac:dyDescent="0.4">
      <c r="B17" s="48"/>
      <c r="C17" s="48"/>
      <c r="D17" s="52"/>
      <c r="E17" s="52"/>
      <c r="F17" s="52"/>
      <c r="G17" s="48"/>
      <c r="H17" s="52"/>
      <c r="I17" s="48"/>
    </row>
    <row r="18" spans="2:9" ht="45" customHeight="1" x14ac:dyDescent="0.4">
      <c r="B18" s="57"/>
      <c r="C18" s="57"/>
      <c r="D18" s="61"/>
      <c r="E18" s="61"/>
      <c r="F18" s="61"/>
      <c r="G18" s="57"/>
      <c r="H18" s="61"/>
      <c r="I18" s="57"/>
    </row>
    <row r="19" spans="2:9" ht="45" customHeight="1" x14ac:dyDescent="0.4">
      <c r="B19" s="48"/>
      <c r="C19" s="48"/>
      <c r="D19" s="52"/>
      <c r="E19" s="52"/>
      <c r="F19" s="52"/>
      <c r="G19" s="48"/>
      <c r="H19" s="52"/>
      <c r="I19" s="48"/>
    </row>
    <row r="20" spans="2:9" ht="45" customHeight="1" x14ac:dyDescent="0.4">
      <c r="B20" s="57"/>
      <c r="C20" s="57"/>
      <c r="D20" s="61"/>
      <c r="E20" s="61"/>
      <c r="F20" s="61"/>
      <c r="G20" s="57"/>
      <c r="H20" s="61"/>
      <c r="I20" s="57"/>
    </row>
    <row r="21" spans="2:9" ht="45" customHeight="1" x14ac:dyDescent="0.4">
      <c r="B21" s="48"/>
      <c r="C21" s="48"/>
      <c r="D21" s="52"/>
      <c r="E21" s="52"/>
      <c r="F21" s="52"/>
      <c r="G21" s="48"/>
      <c r="H21" s="52"/>
      <c r="I21" s="48"/>
    </row>
    <row r="22" spans="2:9" ht="45" customHeight="1" x14ac:dyDescent="0.4">
      <c r="B22" s="57"/>
      <c r="C22" s="57"/>
      <c r="D22" s="61"/>
      <c r="E22" s="61"/>
      <c r="F22" s="61"/>
      <c r="G22" s="57"/>
      <c r="H22" s="61"/>
      <c r="I22" s="57"/>
    </row>
    <row r="23" spans="2:9" ht="45" customHeight="1" x14ac:dyDescent="0.4">
      <c r="B23" s="48"/>
      <c r="C23" s="48"/>
      <c r="D23" s="52"/>
      <c r="E23" s="52"/>
      <c r="F23" s="52"/>
      <c r="G23" s="48"/>
      <c r="H23" s="52"/>
      <c r="I23" s="48"/>
    </row>
    <row r="24" spans="2:9" ht="45" customHeight="1" x14ac:dyDescent="0.4">
      <c r="B24" s="57"/>
      <c r="C24" s="57"/>
      <c r="D24" s="61"/>
      <c r="E24" s="61"/>
      <c r="F24" s="61"/>
      <c r="G24" s="57"/>
      <c r="H24" s="61"/>
      <c r="I24" s="57"/>
    </row>
    <row r="25" spans="2:9" ht="45" customHeight="1" x14ac:dyDescent="0.4">
      <c r="B25" s="48"/>
      <c r="C25" s="48"/>
      <c r="D25" s="52"/>
      <c r="E25" s="52"/>
      <c r="F25" s="52"/>
      <c r="G25" s="48"/>
      <c r="H25" s="52"/>
      <c r="I25" s="48"/>
    </row>
    <row r="26" spans="2:9" ht="45" customHeight="1" x14ac:dyDescent="0.4">
      <c r="B26" s="57"/>
      <c r="C26" s="57"/>
      <c r="D26" s="61"/>
      <c r="E26" s="61"/>
      <c r="F26" s="61"/>
      <c r="G26" s="57"/>
      <c r="H26" s="61"/>
      <c r="I26" s="57"/>
    </row>
    <row r="27" spans="2:9" ht="45" customHeight="1" x14ac:dyDescent="0.4">
      <c r="B27" s="48"/>
      <c r="C27" s="48"/>
      <c r="D27" s="52"/>
      <c r="E27" s="52"/>
      <c r="F27" s="52"/>
      <c r="G27" s="48"/>
      <c r="H27" s="52"/>
      <c r="I27" s="48"/>
    </row>
    <row r="28" spans="2:9" ht="45" customHeight="1" x14ac:dyDescent="0.4">
      <c r="B28" s="57"/>
      <c r="C28" s="57"/>
      <c r="D28" s="61"/>
      <c r="E28" s="61"/>
      <c r="F28" s="61"/>
      <c r="G28" s="57"/>
      <c r="H28" s="61"/>
      <c r="I28" s="57"/>
    </row>
    <row r="29" spans="2:9" ht="45" customHeight="1" x14ac:dyDescent="0.4">
      <c r="B29" s="48"/>
      <c r="C29" s="48"/>
      <c r="D29" s="52"/>
      <c r="E29" s="52"/>
      <c r="F29" s="52"/>
      <c r="G29" s="48"/>
      <c r="H29" s="52"/>
      <c r="I29" s="48"/>
    </row>
    <row r="30" spans="2:9" ht="45" customHeight="1" x14ac:dyDescent="0.4">
      <c r="B30" s="57"/>
      <c r="C30" s="57"/>
      <c r="D30" s="61"/>
      <c r="E30" s="61"/>
      <c r="F30" s="61"/>
      <c r="G30" s="57"/>
      <c r="H30" s="61"/>
      <c r="I30" s="57"/>
    </row>
    <row r="31" spans="2:9" ht="45" customHeight="1" x14ac:dyDescent="0.4">
      <c r="B31" s="48"/>
      <c r="C31" s="48"/>
      <c r="D31" s="52"/>
      <c r="E31" s="52"/>
      <c r="F31" s="52"/>
      <c r="G31" s="48"/>
      <c r="H31" s="52"/>
      <c r="I31" s="48"/>
    </row>
    <row r="32" spans="2:9" ht="45" customHeight="1" x14ac:dyDescent="0.4">
      <c r="B32" s="57"/>
      <c r="C32" s="57"/>
      <c r="D32" s="61"/>
      <c r="E32" s="61"/>
      <c r="F32" s="61"/>
      <c r="G32" s="57"/>
      <c r="H32" s="61"/>
      <c r="I32" s="57"/>
    </row>
    <row r="33" spans="2:9" ht="45" customHeight="1" x14ac:dyDescent="0.4">
      <c r="B33" s="48"/>
      <c r="C33" s="48"/>
      <c r="D33" s="52"/>
      <c r="E33" s="52"/>
      <c r="F33" s="52"/>
      <c r="G33" s="48"/>
      <c r="H33" s="52"/>
      <c r="I33" s="48"/>
    </row>
    <row r="34" spans="2:9" ht="45" customHeight="1" x14ac:dyDescent="0.4">
      <c r="B34" s="57"/>
      <c r="C34" s="57"/>
      <c r="D34" s="61"/>
      <c r="E34" s="61"/>
      <c r="F34" s="61"/>
      <c r="G34" s="57"/>
      <c r="H34" s="61"/>
      <c r="I34" s="57"/>
    </row>
    <row r="35" spans="2:9" ht="45" customHeight="1" x14ac:dyDescent="0.4">
      <c r="B35" s="48"/>
      <c r="C35" s="48"/>
      <c r="D35" s="52"/>
      <c r="E35" s="52"/>
      <c r="F35" s="52"/>
      <c r="G35" s="48"/>
      <c r="H35" s="52"/>
      <c r="I35" s="48"/>
    </row>
    <row r="36" spans="2:9" ht="45" customHeight="1" x14ac:dyDescent="0.4">
      <c r="B36" s="57"/>
      <c r="C36" s="57"/>
      <c r="D36" s="61"/>
      <c r="E36" s="61"/>
      <c r="F36" s="61"/>
      <c r="G36" s="57"/>
      <c r="H36" s="61"/>
      <c r="I36" s="57"/>
    </row>
    <row r="37" spans="2:9" ht="45" customHeight="1" x14ac:dyDescent="0.4">
      <c r="B37" s="48"/>
      <c r="C37" s="48"/>
      <c r="D37" s="52"/>
      <c r="E37" s="52"/>
      <c r="F37" s="52"/>
      <c r="G37" s="48"/>
      <c r="H37" s="52"/>
      <c r="I37" s="48"/>
    </row>
    <row r="38" spans="2:9" ht="45" customHeight="1" x14ac:dyDescent="0.4">
      <c r="B38" s="57"/>
      <c r="C38" s="57"/>
      <c r="D38" s="61"/>
      <c r="E38" s="61"/>
      <c r="F38" s="61"/>
      <c r="G38" s="57"/>
      <c r="H38" s="61"/>
      <c r="I38" s="57"/>
    </row>
    <row r="39" spans="2:9" ht="45" customHeight="1" x14ac:dyDescent="0.4">
      <c r="B39" s="48"/>
      <c r="C39" s="48"/>
      <c r="D39" s="52"/>
      <c r="E39" s="52"/>
      <c r="F39" s="52"/>
      <c r="G39" s="48"/>
      <c r="H39" s="52"/>
      <c r="I39" s="48"/>
    </row>
    <row r="40" spans="2:9" ht="45" customHeight="1" x14ac:dyDescent="0.4">
      <c r="B40" s="57"/>
      <c r="C40" s="57"/>
      <c r="D40" s="61"/>
      <c r="E40" s="61"/>
      <c r="F40" s="61"/>
      <c r="G40" s="57"/>
      <c r="H40" s="61"/>
      <c r="I40" s="57"/>
    </row>
    <row r="41" spans="2:9" ht="45" customHeight="1" x14ac:dyDescent="0.4">
      <c r="B41" s="48"/>
      <c r="C41" s="48"/>
      <c r="D41" s="52"/>
      <c r="E41" s="52"/>
      <c r="F41" s="52"/>
      <c r="G41" s="48"/>
      <c r="H41" s="52"/>
      <c r="I41" s="48"/>
    </row>
    <row r="42" spans="2:9" ht="45" customHeight="1" x14ac:dyDescent="0.4">
      <c r="B42" s="57"/>
      <c r="C42" s="57"/>
      <c r="D42" s="61"/>
      <c r="E42" s="61"/>
      <c r="F42" s="61"/>
      <c r="G42" s="57"/>
      <c r="H42" s="61"/>
      <c r="I42" s="57"/>
    </row>
    <row r="43" spans="2:9" ht="45" customHeight="1" x14ac:dyDescent="0.4">
      <c r="B43" s="48"/>
      <c r="C43" s="48"/>
      <c r="D43" s="52"/>
      <c r="E43" s="52"/>
      <c r="F43" s="52"/>
      <c r="G43" s="48"/>
      <c r="H43" s="52"/>
      <c r="I43" s="48"/>
    </row>
    <row r="44" spans="2:9" ht="45" customHeight="1" x14ac:dyDescent="0.4">
      <c r="B44" s="57"/>
      <c r="C44" s="57"/>
      <c r="D44" s="61"/>
      <c r="E44" s="61"/>
      <c r="F44" s="61"/>
      <c r="G44" s="57"/>
      <c r="H44" s="61"/>
      <c r="I44" s="57"/>
    </row>
    <row r="45" spans="2:9" ht="45" customHeight="1" x14ac:dyDescent="0.4">
      <c r="B45" s="48"/>
      <c r="C45" s="48"/>
      <c r="D45" s="52"/>
      <c r="E45" s="52"/>
      <c r="F45" s="52"/>
      <c r="G45" s="48"/>
      <c r="H45" s="52"/>
      <c r="I45" s="48"/>
    </row>
    <row r="46" spans="2:9" ht="45" customHeight="1" x14ac:dyDescent="0.4">
      <c r="B46" s="57"/>
      <c r="C46" s="57"/>
      <c r="D46" s="61"/>
      <c r="E46" s="61"/>
      <c r="F46" s="61"/>
      <c r="G46" s="57"/>
      <c r="H46" s="61"/>
      <c r="I46" s="57"/>
    </row>
    <row r="47" spans="2:9" ht="45" customHeight="1" x14ac:dyDescent="0.4">
      <c r="B47" s="48"/>
      <c r="C47" s="48"/>
      <c r="D47" s="52"/>
      <c r="E47" s="52"/>
      <c r="F47" s="52"/>
      <c r="G47" s="48"/>
      <c r="H47" s="52"/>
      <c r="I47" s="48"/>
    </row>
    <row r="48" spans="2:9" ht="45" customHeight="1" x14ac:dyDescent="0.4">
      <c r="B48" s="57"/>
      <c r="C48" s="57"/>
      <c r="D48" s="61"/>
      <c r="E48" s="61"/>
      <c r="F48" s="61"/>
      <c r="G48" s="57"/>
      <c r="H48" s="61"/>
      <c r="I48" s="57"/>
    </row>
    <row r="49" spans="2:9" ht="45" customHeight="1" x14ac:dyDescent="0.4">
      <c r="B49" s="48"/>
      <c r="C49" s="48"/>
      <c r="D49" s="52"/>
      <c r="E49" s="52"/>
      <c r="F49" s="52"/>
      <c r="G49" s="48"/>
      <c r="H49" s="52"/>
      <c r="I49" s="48"/>
    </row>
  </sheetData>
  <mergeCells count="1">
    <mergeCell ref="B2:I2"/>
  </mergeCells>
  <dataValidations count="1">
    <dataValidation type="list" allowBlank="1" sqref="I4:I50" xr:uid="{00000000-0002-0000-0400-000000000000}">
      <formula1>"Open,Accepted,Deferred,Resolved"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21B6"/>
  </sheetPr>
  <dimension ref="B1:H108"/>
  <sheetViews>
    <sheetView showGridLines="0" zoomScaleNormal="100" workbookViewId="0"/>
  </sheetViews>
  <sheetFormatPr defaultColWidth="8.69140625" defaultRowHeight="14.6" x14ac:dyDescent="0.4"/>
  <cols>
    <col min="1" max="1" width="2" customWidth="1"/>
    <col min="2" max="2" width="10" customWidth="1"/>
    <col min="3" max="3" width="38" customWidth="1"/>
    <col min="4" max="4" width="24" customWidth="1"/>
    <col min="5" max="6" width="12" customWidth="1"/>
    <col min="7" max="7" width="54.3046875" bestFit="1" customWidth="1"/>
    <col min="8" max="8" width="2" customWidth="1"/>
  </cols>
  <sheetData>
    <row r="1" spans="2:8" ht="7.5" customHeight="1" x14ac:dyDescent="0.4"/>
    <row r="2" spans="2:8" ht="30" customHeight="1" x14ac:dyDescent="0.4">
      <c r="B2" s="2" t="s">
        <v>171</v>
      </c>
      <c r="C2" s="2"/>
      <c r="D2" s="2"/>
      <c r="E2" s="2"/>
      <c r="F2" s="2"/>
      <c r="G2" s="2"/>
      <c r="H2" s="2"/>
    </row>
    <row r="3" spans="2:8" ht="31.5" customHeight="1" x14ac:dyDescent="0.4">
      <c r="B3" s="22" t="s">
        <v>62</v>
      </c>
      <c r="C3" s="22" t="s">
        <v>172</v>
      </c>
      <c r="D3" s="22" t="s">
        <v>173</v>
      </c>
      <c r="E3" s="22" t="s">
        <v>174</v>
      </c>
      <c r="F3" s="22" t="s">
        <v>175</v>
      </c>
      <c r="G3" s="22" t="s">
        <v>176</v>
      </c>
    </row>
    <row r="4" spans="2:8" ht="54.75" customHeight="1" x14ac:dyDescent="0.4">
      <c r="B4" s="78" t="s">
        <v>86</v>
      </c>
      <c r="C4" s="79" t="s">
        <v>177</v>
      </c>
      <c r="D4" s="79" t="s">
        <v>178</v>
      </c>
      <c r="E4" s="80" t="s">
        <v>179</v>
      </c>
      <c r="F4" s="80" t="s">
        <v>25</v>
      </c>
      <c r="G4" s="79" t="s">
        <v>180</v>
      </c>
    </row>
    <row r="5" spans="2:8" ht="54.75" customHeight="1" x14ac:dyDescent="0.4">
      <c r="B5" s="81" t="s">
        <v>86</v>
      </c>
      <c r="C5" s="68" t="s">
        <v>181</v>
      </c>
      <c r="D5" s="68" t="s">
        <v>182</v>
      </c>
      <c r="E5" s="69" t="s">
        <v>179</v>
      </c>
      <c r="F5" s="69" t="s">
        <v>183</v>
      </c>
      <c r="G5" s="68" t="s">
        <v>184</v>
      </c>
    </row>
    <row r="6" spans="2:8" ht="54.75" customHeight="1" x14ac:dyDescent="0.4">
      <c r="B6" s="78" t="s">
        <v>86</v>
      </c>
      <c r="C6" s="79" t="s">
        <v>185</v>
      </c>
      <c r="D6" s="79" t="s">
        <v>186</v>
      </c>
      <c r="E6" s="80" t="s">
        <v>179</v>
      </c>
      <c r="F6" s="80" t="s">
        <v>187</v>
      </c>
      <c r="G6" s="79" t="s">
        <v>188</v>
      </c>
    </row>
    <row r="7" spans="2:8" ht="54.75" customHeight="1" x14ac:dyDescent="0.4">
      <c r="B7" s="81" t="s">
        <v>86</v>
      </c>
      <c r="C7" s="68" t="s">
        <v>189</v>
      </c>
      <c r="D7" s="68" t="s">
        <v>190</v>
      </c>
      <c r="E7" s="69" t="s">
        <v>191</v>
      </c>
      <c r="F7" s="69" t="s">
        <v>192</v>
      </c>
      <c r="G7" s="68" t="s">
        <v>193</v>
      </c>
    </row>
    <row r="8" spans="2:8" ht="54.75" customHeight="1" x14ac:dyDescent="0.4">
      <c r="B8" s="78" t="s">
        <v>86</v>
      </c>
      <c r="C8" s="79" t="s">
        <v>194</v>
      </c>
      <c r="D8" s="79" t="s">
        <v>195</v>
      </c>
      <c r="E8" s="80" t="s">
        <v>196</v>
      </c>
      <c r="F8" s="80" t="s">
        <v>197</v>
      </c>
      <c r="G8" s="79" t="s">
        <v>198</v>
      </c>
    </row>
    <row r="9" spans="2:8" ht="45" customHeight="1" x14ac:dyDescent="0.4">
      <c r="B9" s="82"/>
      <c r="C9" s="83"/>
      <c r="D9" s="83"/>
      <c r="E9" s="82"/>
      <c r="F9" s="82"/>
      <c r="G9" s="83"/>
      <c r="H9" s="83"/>
    </row>
    <row r="10" spans="2:8" ht="45" customHeight="1" x14ac:dyDescent="0.4">
      <c r="B10" s="48"/>
      <c r="C10" s="52"/>
      <c r="D10" s="52"/>
      <c r="E10" s="48"/>
      <c r="F10" s="48"/>
      <c r="G10" s="52"/>
      <c r="H10" s="52"/>
    </row>
    <row r="11" spans="2:8" ht="45" customHeight="1" x14ac:dyDescent="0.4">
      <c r="B11" s="82"/>
      <c r="C11" s="83"/>
      <c r="D11" s="83"/>
      <c r="E11" s="82"/>
      <c r="F11" s="82"/>
      <c r="G11" s="83"/>
      <c r="H11" s="83"/>
    </row>
    <row r="12" spans="2:8" ht="45" customHeight="1" x14ac:dyDescent="0.4">
      <c r="B12" s="48"/>
      <c r="C12" s="52"/>
      <c r="D12" s="52"/>
      <c r="E12" s="48"/>
      <c r="F12" s="48"/>
      <c r="G12" s="52"/>
      <c r="H12" s="52"/>
    </row>
    <row r="13" spans="2:8" ht="45" customHeight="1" x14ac:dyDescent="0.4">
      <c r="B13" s="82"/>
      <c r="C13" s="83"/>
      <c r="D13" s="83"/>
      <c r="E13" s="82"/>
      <c r="F13" s="82"/>
      <c r="G13" s="83"/>
      <c r="H13" s="83"/>
    </row>
    <row r="14" spans="2:8" ht="45" customHeight="1" x14ac:dyDescent="0.4">
      <c r="B14" s="48"/>
      <c r="C14" s="52"/>
      <c r="D14" s="52"/>
      <c r="E14" s="48"/>
      <c r="F14" s="48"/>
      <c r="G14" s="52"/>
      <c r="H14" s="52"/>
    </row>
    <row r="15" spans="2:8" ht="45" customHeight="1" x14ac:dyDescent="0.4">
      <c r="B15" s="82"/>
      <c r="C15" s="83"/>
      <c r="D15" s="83"/>
      <c r="E15" s="82"/>
      <c r="F15" s="82"/>
      <c r="G15" s="83"/>
      <c r="H15" s="83"/>
    </row>
    <row r="16" spans="2:8" ht="45" customHeight="1" x14ac:dyDescent="0.4">
      <c r="B16" s="48"/>
      <c r="C16" s="52"/>
      <c r="D16" s="52"/>
      <c r="E16" s="48"/>
      <c r="F16" s="48"/>
      <c r="G16" s="52"/>
      <c r="H16" s="52"/>
    </row>
    <row r="17" spans="2:8" ht="45" customHeight="1" x14ac:dyDescent="0.4">
      <c r="B17" s="82"/>
      <c r="C17" s="83"/>
      <c r="D17" s="83"/>
      <c r="E17" s="82"/>
      <c r="F17" s="82"/>
      <c r="G17" s="83"/>
      <c r="H17" s="83"/>
    </row>
    <row r="18" spans="2:8" ht="45" customHeight="1" x14ac:dyDescent="0.4">
      <c r="B18" s="48"/>
      <c r="C18" s="52"/>
      <c r="D18" s="52"/>
      <c r="E18" s="48"/>
      <c r="F18" s="48"/>
      <c r="G18" s="52"/>
      <c r="H18" s="52"/>
    </row>
    <row r="19" spans="2:8" ht="45" customHeight="1" x14ac:dyDescent="0.4">
      <c r="B19" s="82"/>
      <c r="C19" s="83"/>
      <c r="D19" s="83"/>
      <c r="E19" s="82"/>
      <c r="F19" s="82"/>
      <c r="G19" s="83"/>
      <c r="H19" s="83"/>
    </row>
    <row r="20" spans="2:8" ht="45" customHeight="1" x14ac:dyDescent="0.4">
      <c r="B20" s="48"/>
      <c r="C20" s="52"/>
      <c r="D20" s="52"/>
      <c r="E20" s="48"/>
      <c r="F20" s="48"/>
      <c r="G20" s="52"/>
      <c r="H20" s="52"/>
    </row>
    <row r="21" spans="2:8" ht="45" customHeight="1" x14ac:dyDescent="0.4">
      <c r="B21" s="82"/>
      <c r="C21" s="83"/>
      <c r="D21" s="83"/>
      <c r="E21" s="82"/>
      <c r="F21" s="82"/>
      <c r="G21" s="83"/>
      <c r="H21" s="83"/>
    </row>
    <row r="22" spans="2:8" ht="45" customHeight="1" x14ac:dyDescent="0.4">
      <c r="B22" s="48"/>
      <c r="C22" s="52"/>
      <c r="D22" s="52"/>
      <c r="E22" s="48"/>
      <c r="F22" s="48"/>
      <c r="G22" s="52"/>
      <c r="H22" s="52"/>
    </row>
    <row r="23" spans="2:8" ht="45" customHeight="1" x14ac:dyDescent="0.4">
      <c r="B23" s="82"/>
      <c r="C23" s="83"/>
      <c r="D23" s="83"/>
      <c r="E23" s="82"/>
      <c r="F23" s="82"/>
      <c r="G23" s="83"/>
      <c r="H23" s="83"/>
    </row>
    <row r="24" spans="2:8" ht="45" customHeight="1" x14ac:dyDescent="0.4">
      <c r="B24" s="48"/>
      <c r="C24" s="52"/>
      <c r="D24" s="52"/>
      <c r="E24" s="48"/>
      <c r="F24" s="48"/>
      <c r="G24" s="52"/>
      <c r="H24" s="52"/>
    </row>
    <row r="25" spans="2:8" ht="45" customHeight="1" x14ac:dyDescent="0.4">
      <c r="B25" s="82"/>
      <c r="C25" s="83"/>
      <c r="D25" s="83"/>
      <c r="E25" s="82"/>
      <c r="F25" s="82"/>
      <c r="G25" s="83"/>
      <c r="H25" s="83"/>
    </row>
    <row r="26" spans="2:8" ht="45" customHeight="1" x14ac:dyDescent="0.4">
      <c r="B26" s="48"/>
      <c r="C26" s="52"/>
      <c r="D26" s="52"/>
      <c r="E26" s="48"/>
      <c r="F26" s="48"/>
      <c r="G26" s="52"/>
      <c r="H26" s="52"/>
    </row>
    <row r="27" spans="2:8" ht="45" customHeight="1" x14ac:dyDescent="0.4">
      <c r="B27" s="82"/>
      <c r="C27" s="83"/>
      <c r="D27" s="83"/>
      <c r="E27" s="82"/>
      <c r="F27" s="82"/>
      <c r="G27" s="83"/>
      <c r="H27" s="83"/>
    </row>
    <row r="28" spans="2:8" ht="45" customHeight="1" x14ac:dyDescent="0.4">
      <c r="B28" s="48"/>
      <c r="C28" s="52"/>
      <c r="D28" s="52"/>
      <c r="E28" s="48"/>
      <c r="F28" s="48"/>
      <c r="G28" s="52"/>
      <c r="H28" s="52"/>
    </row>
    <row r="29" spans="2:8" ht="45" customHeight="1" x14ac:dyDescent="0.4">
      <c r="B29" s="82"/>
      <c r="C29" s="83"/>
      <c r="D29" s="83"/>
      <c r="E29" s="82"/>
      <c r="F29" s="82"/>
      <c r="G29" s="83"/>
      <c r="H29" s="83"/>
    </row>
    <row r="30" spans="2:8" ht="45" customHeight="1" x14ac:dyDescent="0.4">
      <c r="B30" s="48"/>
      <c r="C30" s="52"/>
      <c r="D30" s="52"/>
      <c r="E30" s="48"/>
      <c r="F30" s="48"/>
      <c r="G30" s="52"/>
      <c r="H30" s="52"/>
    </row>
    <row r="31" spans="2:8" ht="45" customHeight="1" x14ac:dyDescent="0.4">
      <c r="B31" s="82"/>
      <c r="C31" s="83"/>
      <c r="D31" s="83"/>
      <c r="E31" s="82"/>
      <c r="F31" s="82"/>
      <c r="G31" s="83"/>
      <c r="H31" s="83"/>
    </row>
    <row r="32" spans="2:8" ht="45" customHeight="1" x14ac:dyDescent="0.4">
      <c r="B32" s="48"/>
      <c r="C32" s="52"/>
      <c r="D32" s="52"/>
      <c r="E32" s="48"/>
      <c r="F32" s="48"/>
      <c r="G32" s="52"/>
      <c r="H32" s="52"/>
    </row>
    <row r="33" spans="2:8" ht="45" customHeight="1" x14ac:dyDescent="0.4">
      <c r="B33" s="82"/>
      <c r="C33" s="83"/>
      <c r="D33" s="83"/>
      <c r="E33" s="82"/>
      <c r="F33" s="82"/>
      <c r="G33" s="83"/>
      <c r="H33" s="83"/>
    </row>
    <row r="34" spans="2:8" ht="45" customHeight="1" x14ac:dyDescent="0.4">
      <c r="B34" s="48"/>
      <c r="C34" s="52"/>
      <c r="D34" s="52"/>
      <c r="E34" s="48"/>
      <c r="F34" s="48"/>
      <c r="G34" s="52"/>
      <c r="H34" s="52"/>
    </row>
    <row r="35" spans="2:8" ht="45" customHeight="1" x14ac:dyDescent="0.4">
      <c r="B35" s="82"/>
      <c r="C35" s="83"/>
      <c r="D35" s="83"/>
      <c r="E35" s="82"/>
      <c r="F35" s="82"/>
      <c r="G35" s="83"/>
      <c r="H35" s="83"/>
    </row>
    <row r="36" spans="2:8" ht="45" customHeight="1" x14ac:dyDescent="0.4">
      <c r="B36" s="48"/>
      <c r="C36" s="52"/>
      <c r="D36" s="52"/>
      <c r="E36" s="48"/>
      <c r="F36" s="48"/>
      <c r="G36" s="52"/>
      <c r="H36" s="52"/>
    </row>
    <row r="37" spans="2:8" ht="45" customHeight="1" x14ac:dyDescent="0.4">
      <c r="B37" s="82"/>
      <c r="C37" s="83"/>
      <c r="D37" s="83"/>
      <c r="E37" s="82"/>
      <c r="F37" s="82"/>
      <c r="G37" s="83"/>
      <c r="H37" s="83"/>
    </row>
    <row r="38" spans="2:8" ht="45" customHeight="1" x14ac:dyDescent="0.4">
      <c r="B38" s="48"/>
      <c r="C38" s="52"/>
      <c r="D38" s="52"/>
      <c r="E38" s="48"/>
      <c r="F38" s="48"/>
      <c r="G38" s="52"/>
      <c r="H38" s="52"/>
    </row>
    <row r="39" spans="2:8" ht="45" customHeight="1" x14ac:dyDescent="0.4">
      <c r="B39" s="82"/>
      <c r="C39" s="83"/>
      <c r="D39" s="83"/>
      <c r="E39" s="82"/>
      <c r="F39" s="82"/>
      <c r="G39" s="83"/>
      <c r="H39" s="83"/>
    </row>
    <row r="40" spans="2:8" ht="45" customHeight="1" x14ac:dyDescent="0.4">
      <c r="B40" s="48"/>
      <c r="C40" s="52"/>
      <c r="D40" s="52"/>
      <c r="E40" s="48"/>
      <c r="F40" s="48"/>
      <c r="G40" s="52"/>
      <c r="H40" s="52"/>
    </row>
    <row r="41" spans="2:8" ht="45" customHeight="1" x14ac:dyDescent="0.4">
      <c r="B41" s="82"/>
      <c r="C41" s="83"/>
      <c r="D41" s="83"/>
      <c r="E41" s="82"/>
      <c r="F41" s="82"/>
      <c r="G41" s="83"/>
      <c r="H41" s="83"/>
    </row>
    <row r="42" spans="2:8" ht="45" customHeight="1" x14ac:dyDescent="0.4">
      <c r="B42" s="48"/>
      <c r="C42" s="52"/>
      <c r="D42" s="52"/>
      <c r="E42" s="48"/>
      <c r="F42" s="48"/>
      <c r="G42" s="52"/>
      <c r="H42" s="52"/>
    </row>
    <row r="43" spans="2:8" ht="45" customHeight="1" x14ac:dyDescent="0.4">
      <c r="B43" s="82"/>
      <c r="C43" s="83"/>
      <c r="D43" s="83"/>
      <c r="E43" s="82"/>
      <c r="F43" s="82"/>
      <c r="G43" s="83"/>
      <c r="H43" s="83"/>
    </row>
    <row r="44" spans="2:8" ht="45" customHeight="1" x14ac:dyDescent="0.4">
      <c r="B44" s="48"/>
      <c r="C44" s="52"/>
      <c r="D44" s="52"/>
      <c r="E44" s="48"/>
      <c r="F44" s="48"/>
      <c r="G44" s="52"/>
      <c r="H44" s="52"/>
    </row>
    <row r="45" spans="2:8" ht="45" customHeight="1" x14ac:dyDescent="0.4">
      <c r="B45" s="82"/>
      <c r="C45" s="83"/>
      <c r="D45" s="83"/>
      <c r="E45" s="82"/>
      <c r="F45" s="82"/>
      <c r="G45" s="83"/>
      <c r="H45" s="83"/>
    </row>
    <row r="46" spans="2:8" ht="45" customHeight="1" x14ac:dyDescent="0.4">
      <c r="B46" s="48"/>
      <c r="C46" s="52"/>
      <c r="D46" s="52"/>
      <c r="E46" s="48"/>
      <c r="F46" s="48"/>
      <c r="G46" s="52"/>
      <c r="H46" s="52"/>
    </row>
    <row r="47" spans="2:8" ht="45" customHeight="1" x14ac:dyDescent="0.4">
      <c r="B47" s="82"/>
      <c r="C47" s="83"/>
      <c r="D47" s="83"/>
      <c r="E47" s="82"/>
      <c r="F47" s="82"/>
      <c r="G47" s="83"/>
      <c r="H47" s="83"/>
    </row>
    <row r="48" spans="2:8" ht="45" customHeight="1" x14ac:dyDescent="0.4">
      <c r="B48" s="48"/>
      <c r="C48" s="52"/>
      <c r="D48" s="52"/>
      <c r="E48" s="48"/>
      <c r="F48" s="48"/>
      <c r="G48" s="52"/>
      <c r="H48" s="52"/>
    </row>
    <row r="49" spans="2:8" ht="45" customHeight="1" x14ac:dyDescent="0.4">
      <c r="B49" s="82"/>
      <c r="C49" s="83"/>
      <c r="D49" s="83"/>
      <c r="E49" s="82"/>
      <c r="F49" s="82"/>
      <c r="G49" s="83"/>
      <c r="H49" s="83"/>
    </row>
    <row r="50" spans="2:8" ht="45" customHeight="1" x14ac:dyDescent="0.4">
      <c r="B50" s="48"/>
      <c r="C50" s="52"/>
      <c r="D50" s="52"/>
      <c r="E50" s="48"/>
      <c r="F50" s="48"/>
      <c r="G50" s="52"/>
      <c r="H50" s="52"/>
    </row>
    <row r="51" spans="2:8" ht="45" customHeight="1" x14ac:dyDescent="0.4">
      <c r="B51" s="82"/>
      <c r="C51" s="83"/>
      <c r="D51" s="83"/>
      <c r="E51" s="82"/>
      <c r="F51" s="82"/>
      <c r="G51" s="83"/>
      <c r="H51" s="83"/>
    </row>
    <row r="52" spans="2:8" ht="45" customHeight="1" x14ac:dyDescent="0.4">
      <c r="B52" s="48"/>
      <c r="C52" s="52"/>
      <c r="D52" s="52"/>
      <c r="E52" s="48"/>
      <c r="F52" s="48"/>
      <c r="G52" s="52"/>
      <c r="H52" s="52"/>
    </row>
    <row r="53" spans="2:8" ht="45" customHeight="1" x14ac:dyDescent="0.4">
      <c r="B53" s="82"/>
      <c r="C53" s="83"/>
      <c r="D53" s="83"/>
      <c r="E53" s="82"/>
      <c r="F53" s="82"/>
      <c r="G53" s="83"/>
      <c r="H53" s="83"/>
    </row>
    <row r="54" spans="2:8" ht="45" customHeight="1" x14ac:dyDescent="0.4">
      <c r="B54" s="48"/>
      <c r="C54" s="52"/>
      <c r="D54" s="52"/>
      <c r="E54" s="48"/>
      <c r="F54" s="48"/>
      <c r="G54" s="52"/>
      <c r="H54" s="52"/>
    </row>
    <row r="55" spans="2:8" ht="45" customHeight="1" x14ac:dyDescent="0.4">
      <c r="B55" s="82"/>
      <c r="C55" s="83"/>
      <c r="D55" s="83"/>
      <c r="E55" s="82"/>
      <c r="F55" s="82"/>
      <c r="G55" s="83"/>
      <c r="H55" s="83"/>
    </row>
    <row r="56" spans="2:8" ht="45" customHeight="1" x14ac:dyDescent="0.4">
      <c r="B56" s="48"/>
      <c r="C56" s="52"/>
      <c r="D56" s="52"/>
      <c r="E56" s="48"/>
      <c r="F56" s="48"/>
      <c r="G56" s="52"/>
      <c r="H56" s="52"/>
    </row>
    <row r="57" spans="2:8" ht="45" customHeight="1" x14ac:dyDescent="0.4">
      <c r="B57" s="82"/>
      <c r="C57" s="83"/>
      <c r="D57" s="83"/>
      <c r="E57" s="82"/>
      <c r="F57" s="82"/>
      <c r="G57" s="83"/>
      <c r="H57" s="83"/>
    </row>
    <row r="58" spans="2:8" ht="45" customHeight="1" x14ac:dyDescent="0.4">
      <c r="B58" s="48"/>
      <c r="C58" s="52"/>
      <c r="D58" s="52"/>
      <c r="E58" s="48"/>
      <c r="F58" s="48"/>
      <c r="G58" s="52"/>
      <c r="H58" s="52"/>
    </row>
    <row r="59" spans="2:8" ht="45" customHeight="1" x14ac:dyDescent="0.4">
      <c r="B59" s="82"/>
      <c r="C59" s="83"/>
      <c r="D59" s="83"/>
      <c r="E59" s="82"/>
      <c r="F59" s="82"/>
      <c r="G59" s="83"/>
      <c r="H59" s="83"/>
    </row>
    <row r="60" spans="2:8" ht="45" customHeight="1" x14ac:dyDescent="0.4">
      <c r="B60" s="48"/>
      <c r="C60" s="52"/>
      <c r="D60" s="52"/>
      <c r="E60" s="48"/>
      <c r="F60" s="48"/>
      <c r="G60" s="52"/>
      <c r="H60" s="52"/>
    </row>
    <row r="61" spans="2:8" ht="45" customHeight="1" x14ac:dyDescent="0.4">
      <c r="B61" s="82"/>
      <c r="C61" s="83"/>
      <c r="D61" s="83"/>
      <c r="E61" s="82"/>
      <c r="F61" s="82"/>
      <c r="G61" s="83"/>
      <c r="H61" s="83"/>
    </row>
    <row r="62" spans="2:8" ht="45" customHeight="1" x14ac:dyDescent="0.4">
      <c r="B62" s="48"/>
      <c r="C62" s="52"/>
      <c r="D62" s="52"/>
      <c r="E62" s="48"/>
      <c r="F62" s="48"/>
      <c r="G62" s="52"/>
      <c r="H62" s="52"/>
    </row>
    <row r="63" spans="2:8" ht="45" customHeight="1" x14ac:dyDescent="0.4">
      <c r="B63" s="82"/>
      <c r="C63" s="83"/>
      <c r="D63" s="83"/>
      <c r="E63" s="82"/>
      <c r="F63" s="82"/>
      <c r="G63" s="83"/>
      <c r="H63" s="83"/>
    </row>
    <row r="64" spans="2:8" ht="45" customHeight="1" x14ac:dyDescent="0.4">
      <c r="B64" s="48"/>
      <c r="C64" s="52"/>
      <c r="D64" s="52"/>
      <c r="E64" s="48"/>
      <c r="F64" s="48"/>
      <c r="G64" s="52"/>
      <c r="H64" s="52"/>
    </row>
    <row r="65" spans="2:8" ht="45" customHeight="1" x14ac:dyDescent="0.4">
      <c r="B65" s="82"/>
      <c r="C65" s="83"/>
      <c r="D65" s="83"/>
      <c r="E65" s="82"/>
      <c r="F65" s="82"/>
      <c r="G65" s="83"/>
      <c r="H65" s="83"/>
    </row>
    <row r="66" spans="2:8" ht="45" customHeight="1" x14ac:dyDescent="0.4">
      <c r="B66" s="48"/>
      <c r="C66" s="52"/>
      <c r="D66" s="52"/>
      <c r="E66" s="48"/>
      <c r="F66" s="48"/>
      <c r="G66" s="52"/>
      <c r="H66" s="52"/>
    </row>
    <row r="67" spans="2:8" ht="45" customHeight="1" x14ac:dyDescent="0.4">
      <c r="B67" s="82"/>
      <c r="C67" s="83"/>
      <c r="D67" s="83"/>
      <c r="E67" s="82"/>
      <c r="F67" s="82"/>
      <c r="G67" s="83"/>
      <c r="H67" s="83"/>
    </row>
    <row r="68" spans="2:8" ht="45" customHeight="1" x14ac:dyDescent="0.4">
      <c r="B68" s="48"/>
      <c r="C68" s="52"/>
      <c r="D68" s="52"/>
      <c r="E68" s="48"/>
      <c r="F68" s="48"/>
      <c r="G68" s="52"/>
      <c r="H68" s="52"/>
    </row>
    <row r="69" spans="2:8" ht="45" customHeight="1" x14ac:dyDescent="0.4">
      <c r="B69" s="82"/>
      <c r="C69" s="83"/>
      <c r="D69" s="83"/>
      <c r="E69" s="82"/>
      <c r="F69" s="82"/>
      <c r="G69" s="83"/>
      <c r="H69" s="83"/>
    </row>
    <row r="70" spans="2:8" ht="45" customHeight="1" x14ac:dyDescent="0.4">
      <c r="B70" s="48"/>
      <c r="C70" s="52"/>
      <c r="D70" s="52"/>
      <c r="E70" s="48"/>
      <c r="F70" s="48"/>
      <c r="G70" s="52"/>
      <c r="H70" s="52"/>
    </row>
    <row r="71" spans="2:8" ht="45" customHeight="1" x14ac:dyDescent="0.4">
      <c r="B71" s="82"/>
      <c r="C71" s="83"/>
      <c r="D71" s="83"/>
      <c r="E71" s="82"/>
      <c r="F71" s="82"/>
      <c r="G71" s="83"/>
      <c r="H71" s="83"/>
    </row>
    <row r="72" spans="2:8" ht="45" customHeight="1" x14ac:dyDescent="0.4">
      <c r="B72" s="48"/>
      <c r="C72" s="52"/>
      <c r="D72" s="52"/>
      <c r="E72" s="48"/>
      <c r="F72" s="48"/>
      <c r="G72" s="52"/>
      <c r="H72" s="52"/>
    </row>
    <row r="73" spans="2:8" ht="45" customHeight="1" x14ac:dyDescent="0.4">
      <c r="B73" s="82"/>
      <c r="C73" s="83"/>
      <c r="D73" s="83"/>
      <c r="E73" s="82"/>
      <c r="F73" s="82"/>
      <c r="G73" s="83"/>
      <c r="H73" s="83"/>
    </row>
    <row r="74" spans="2:8" ht="45" customHeight="1" x14ac:dyDescent="0.4">
      <c r="B74" s="48"/>
      <c r="C74" s="52"/>
      <c r="D74" s="52"/>
      <c r="E74" s="48"/>
      <c r="F74" s="48"/>
      <c r="G74" s="52"/>
      <c r="H74" s="52"/>
    </row>
    <row r="75" spans="2:8" ht="45" customHeight="1" x14ac:dyDescent="0.4">
      <c r="B75" s="82"/>
      <c r="C75" s="83"/>
      <c r="D75" s="83"/>
      <c r="E75" s="82"/>
      <c r="F75" s="82"/>
      <c r="G75" s="83"/>
      <c r="H75" s="83"/>
    </row>
    <row r="76" spans="2:8" ht="45" customHeight="1" x14ac:dyDescent="0.4">
      <c r="B76" s="48"/>
      <c r="C76" s="52"/>
      <c r="D76" s="52"/>
      <c r="E76" s="48"/>
      <c r="F76" s="48"/>
      <c r="G76" s="52"/>
      <c r="H76" s="52"/>
    </row>
    <row r="77" spans="2:8" ht="45" customHeight="1" x14ac:dyDescent="0.4">
      <c r="B77" s="82"/>
      <c r="C77" s="83"/>
      <c r="D77" s="83"/>
      <c r="E77" s="82"/>
      <c r="F77" s="82"/>
      <c r="G77" s="83"/>
      <c r="H77" s="83"/>
    </row>
    <row r="78" spans="2:8" ht="45" customHeight="1" x14ac:dyDescent="0.4">
      <c r="B78" s="48"/>
      <c r="C78" s="52"/>
      <c r="D78" s="52"/>
      <c r="E78" s="48"/>
      <c r="F78" s="48"/>
      <c r="G78" s="52"/>
      <c r="H78" s="52"/>
    </row>
    <row r="79" spans="2:8" ht="45" customHeight="1" x14ac:dyDescent="0.4">
      <c r="B79" s="82"/>
      <c r="C79" s="83"/>
      <c r="D79" s="83"/>
      <c r="E79" s="82"/>
      <c r="F79" s="82"/>
      <c r="G79" s="83"/>
      <c r="H79" s="83"/>
    </row>
    <row r="80" spans="2:8" ht="45" customHeight="1" x14ac:dyDescent="0.4">
      <c r="B80" s="48"/>
      <c r="C80" s="52"/>
      <c r="D80" s="52"/>
      <c r="E80" s="48"/>
      <c r="F80" s="48"/>
      <c r="G80" s="52"/>
      <c r="H80" s="52"/>
    </row>
    <row r="81" spans="2:8" ht="45" customHeight="1" x14ac:dyDescent="0.4">
      <c r="B81" s="82"/>
      <c r="C81" s="83"/>
      <c r="D81" s="83"/>
      <c r="E81" s="82"/>
      <c r="F81" s="82"/>
      <c r="G81" s="83"/>
      <c r="H81" s="83"/>
    </row>
    <row r="82" spans="2:8" ht="45" customHeight="1" x14ac:dyDescent="0.4">
      <c r="B82" s="48"/>
      <c r="C82" s="52"/>
      <c r="D82" s="52"/>
      <c r="E82" s="48"/>
      <c r="F82" s="48"/>
      <c r="G82" s="52"/>
      <c r="H82" s="52"/>
    </row>
    <row r="83" spans="2:8" ht="45" customHeight="1" x14ac:dyDescent="0.4">
      <c r="B83" s="82"/>
      <c r="C83" s="83"/>
      <c r="D83" s="83"/>
      <c r="E83" s="82"/>
      <c r="F83" s="82"/>
      <c r="G83" s="83"/>
      <c r="H83" s="83"/>
    </row>
    <row r="84" spans="2:8" ht="45" customHeight="1" x14ac:dyDescent="0.4">
      <c r="B84" s="48"/>
      <c r="C84" s="52"/>
      <c r="D84" s="52"/>
      <c r="E84" s="48"/>
      <c r="F84" s="48"/>
      <c r="G84" s="52"/>
      <c r="H84" s="52"/>
    </row>
    <row r="85" spans="2:8" ht="45" customHeight="1" x14ac:dyDescent="0.4">
      <c r="B85" s="82"/>
      <c r="C85" s="83"/>
      <c r="D85" s="83"/>
      <c r="E85" s="82"/>
      <c r="F85" s="82"/>
      <c r="G85" s="83"/>
      <c r="H85" s="83"/>
    </row>
    <row r="86" spans="2:8" ht="45" customHeight="1" x14ac:dyDescent="0.4">
      <c r="B86" s="48"/>
      <c r="C86" s="52"/>
      <c r="D86" s="52"/>
      <c r="E86" s="48"/>
      <c r="F86" s="48"/>
      <c r="G86" s="52"/>
      <c r="H86" s="52"/>
    </row>
    <row r="87" spans="2:8" ht="45" customHeight="1" x14ac:dyDescent="0.4">
      <c r="B87" s="82"/>
      <c r="C87" s="83"/>
      <c r="D87" s="83"/>
      <c r="E87" s="82"/>
      <c r="F87" s="82"/>
      <c r="G87" s="83"/>
      <c r="H87" s="83"/>
    </row>
    <row r="88" spans="2:8" ht="45" customHeight="1" x14ac:dyDescent="0.4">
      <c r="B88" s="48"/>
      <c r="C88" s="52"/>
      <c r="D88" s="52"/>
      <c r="E88" s="48"/>
      <c r="F88" s="48"/>
      <c r="G88" s="52"/>
      <c r="H88" s="52"/>
    </row>
    <row r="89" spans="2:8" ht="45" customHeight="1" x14ac:dyDescent="0.4">
      <c r="B89" s="82"/>
      <c r="C89" s="83"/>
      <c r="D89" s="83"/>
      <c r="E89" s="82"/>
      <c r="F89" s="82"/>
      <c r="G89" s="83"/>
      <c r="H89" s="83"/>
    </row>
    <row r="90" spans="2:8" ht="45" customHeight="1" x14ac:dyDescent="0.4">
      <c r="B90" s="48"/>
      <c r="C90" s="52"/>
      <c r="D90" s="52"/>
      <c r="E90" s="48"/>
      <c r="F90" s="48"/>
      <c r="G90" s="52"/>
      <c r="H90" s="52"/>
    </row>
    <row r="91" spans="2:8" ht="45" customHeight="1" x14ac:dyDescent="0.4">
      <c r="B91" s="82"/>
      <c r="C91" s="83"/>
      <c r="D91" s="83"/>
      <c r="E91" s="82"/>
      <c r="F91" s="82"/>
      <c r="G91" s="83"/>
      <c r="H91" s="83"/>
    </row>
    <row r="92" spans="2:8" ht="45" customHeight="1" x14ac:dyDescent="0.4">
      <c r="B92" s="48"/>
      <c r="C92" s="52"/>
      <c r="D92" s="52"/>
      <c r="E92" s="48"/>
      <c r="F92" s="48"/>
      <c r="G92" s="52"/>
      <c r="H92" s="52"/>
    </row>
    <row r="93" spans="2:8" ht="45" customHeight="1" x14ac:dyDescent="0.4">
      <c r="B93" s="82"/>
      <c r="C93" s="83"/>
      <c r="D93" s="83"/>
      <c r="E93" s="82"/>
      <c r="F93" s="82"/>
      <c r="G93" s="83"/>
      <c r="H93" s="83"/>
    </row>
    <row r="94" spans="2:8" ht="45" customHeight="1" x14ac:dyDescent="0.4">
      <c r="B94" s="48"/>
      <c r="C94" s="52"/>
      <c r="D94" s="52"/>
      <c r="E94" s="48"/>
      <c r="F94" s="48"/>
      <c r="G94" s="52"/>
      <c r="H94" s="52"/>
    </row>
    <row r="95" spans="2:8" ht="45" customHeight="1" x14ac:dyDescent="0.4">
      <c r="B95" s="82"/>
      <c r="C95" s="83"/>
      <c r="D95" s="83"/>
      <c r="E95" s="82"/>
      <c r="F95" s="82"/>
      <c r="G95" s="83"/>
      <c r="H95" s="83"/>
    </row>
    <row r="96" spans="2:8" ht="45" customHeight="1" x14ac:dyDescent="0.4">
      <c r="B96" s="48"/>
      <c r="C96" s="52"/>
      <c r="D96" s="52"/>
      <c r="E96" s="48"/>
      <c r="F96" s="48"/>
      <c r="G96" s="52"/>
      <c r="H96" s="52"/>
    </row>
    <row r="97" spans="2:8" ht="45" customHeight="1" x14ac:dyDescent="0.4">
      <c r="B97" s="82"/>
      <c r="C97" s="83"/>
      <c r="D97" s="83"/>
      <c r="E97" s="82"/>
      <c r="F97" s="82"/>
      <c r="G97" s="83"/>
      <c r="H97" s="83"/>
    </row>
    <row r="98" spans="2:8" ht="45" customHeight="1" x14ac:dyDescent="0.4">
      <c r="B98" s="48"/>
      <c r="C98" s="52"/>
      <c r="D98" s="52"/>
      <c r="E98" s="48"/>
      <c r="F98" s="48"/>
      <c r="G98" s="52"/>
      <c r="H98" s="52"/>
    </row>
    <row r="99" spans="2:8" ht="45" customHeight="1" x14ac:dyDescent="0.4">
      <c r="B99" s="82"/>
      <c r="C99" s="83"/>
      <c r="D99" s="83"/>
      <c r="E99" s="82"/>
      <c r="F99" s="82"/>
      <c r="G99" s="83"/>
      <c r="H99" s="83"/>
    </row>
    <row r="100" spans="2:8" ht="45" customHeight="1" x14ac:dyDescent="0.4">
      <c r="B100" s="48"/>
      <c r="C100" s="52"/>
      <c r="D100" s="52"/>
      <c r="E100" s="48"/>
      <c r="F100" s="48"/>
      <c r="G100" s="52"/>
      <c r="H100" s="52"/>
    </row>
    <row r="101" spans="2:8" ht="45" customHeight="1" x14ac:dyDescent="0.4">
      <c r="B101" s="82"/>
      <c r="C101" s="83"/>
      <c r="D101" s="83"/>
      <c r="E101" s="82"/>
      <c r="F101" s="82"/>
      <c r="G101" s="83"/>
      <c r="H101" s="83"/>
    </row>
    <row r="102" spans="2:8" ht="45" customHeight="1" x14ac:dyDescent="0.4">
      <c r="B102" s="48"/>
      <c r="C102" s="52"/>
      <c r="D102" s="52"/>
      <c r="E102" s="48"/>
      <c r="F102" s="48"/>
      <c r="G102" s="52"/>
      <c r="H102" s="52"/>
    </row>
    <row r="103" spans="2:8" ht="45" customHeight="1" x14ac:dyDescent="0.4">
      <c r="B103" s="82"/>
      <c r="C103" s="83"/>
      <c r="D103" s="83"/>
      <c r="E103" s="82"/>
      <c r="F103" s="82"/>
      <c r="G103" s="83"/>
      <c r="H103" s="83"/>
    </row>
    <row r="104" spans="2:8" ht="45" customHeight="1" x14ac:dyDescent="0.4">
      <c r="B104" s="48"/>
      <c r="C104" s="52"/>
      <c r="D104" s="52"/>
      <c r="E104" s="48"/>
      <c r="F104" s="48"/>
      <c r="G104" s="52"/>
      <c r="H104" s="52"/>
    </row>
    <row r="105" spans="2:8" ht="45" customHeight="1" x14ac:dyDescent="0.4">
      <c r="B105" s="82"/>
      <c r="C105" s="83"/>
      <c r="D105" s="83"/>
      <c r="E105" s="82"/>
      <c r="F105" s="82"/>
      <c r="G105" s="83"/>
      <c r="H105" s="83"/>
    </row>
    <row r="106" spans="2:8" ht="45" customHeight="1" x14ac:dyDescent="0.4">
      <c r="B106" s="48"/>
      <c r="C106" s="52"/>
      <c r="D106" s="52"/>
      <c r="E106" s="48"/>
      <c r="F106" s="48"/>
      <c r="G106" s="52"/>
      <c r="H106" s="52"/>
    </row>
    <row r="107" spans="2:8" ht="45" customHeight="1" x14ac:dyDescent="0.4">
      <c r="B107" s="82"/>
      <c r="C107" s="83"/>
      <c r="D107" s="83"/>
      <c r="E107" s="82"/>
      <c r="F107" s="82"/>
      <c r="G107" s="83"/>
      <c r="H107" s="83"/>
    </row>
    <row r="108" spans="2:8" ht="45" customHeight="1" x14ac:dyDescent="0.4">
      <c r="B108" s="48"/>
      <c r="C108" s="52"/>
      <c r="D108" s="52"/>
      <c r="E108" s="48"/>
      <c r="F108" s="48"/>
      <c r="G108" s="52"/>
      <c r="H108" s="52"/>
    </row>
  </sheetData>
  <mergeCells count="1">
    <mergeCell ref="B2:H2"/>
  </mergeCells>
  <dataValidations count="1">
    <dataValidation type="list" allowBlank="1" sqref="F4:F109" xr:uid="{00000000-0002-0000-0500-000000000000}">
      <formula1>"Technical,Industry Data,Book,Paper,Article,Video,Documentation"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66534"/>
  </sheetPr>
  <dimension ref="B1:I293"/>
  <sheetViews>
    <sheetView showGridLines="0" zoomScaleNormal="100" workbookViewId="0"/>
  </sheetViews>
  <sheetFormatPr defaultColWidth="8.69140625" defaultRowHeight="14.6" x14ac:dyDescent="0.4"/>
  <cols>
    <col min="1" max="1" width="2" customWidth="1"/>
    <col min="2" max="2" width="10" customWidth="1"/>
    <col min="3" max="3" width="26" customWidth="1"/>
    <col min="4" max="4" width="28.23046875" bestFit="1" customWidth="1"/>
    <col min="5" max="7" width="12" customWidth="1"/>
    <col min="8" max="8" width="14" customWidth="1"/>
    <col min="9" max="9" width="10" customWidth="1"/>
    <col min="10" max="10" width="2" customWidth="1"/>
  </cols>
  <sheetData>
    <row r="1" spans="2:9" ht="7.5" customHeight="1" x14ac:dyDescent="0.4"/>
    <row r="2" spans="2:9" ht="27.75" customHeight="1" x14ac:dyDescent="0.4">
      <c r="B2" s="1" t="s">
        <v>199</v>
      </c>
      <c r="C2" s="1"/>
      <c r="D2" s="1"/>
      <c r="E2" s="1"/>
      <c r="F2" s="1"/>
      <c r="G2" s="1"/>
      <c r="H2" s="1"/>
      <c r="I2" s="1"/>
    </row>
    <row r="3" spans="2:9" ht="30" customHeight="1" x14ac:dyDescent="0.4">
      <c r="B3" s="13" t="s">
        <v>200</v>
      </c>
      <c r="C3" s="13" t="s">
        <v>201</v>
      </c>
      <c r="D3" s="13" t="s">
        <v>202</v>
      </c>
      <c r="E3" s="13" t="s">
        <v>203</v>
      </c>
      <c r="F3" s="13" t="s">
        <v>3</v>
      </c>
      <c r="G3" s="13" t="s">
        <v>204</v>
      </c>
      <c r="H3" s="13" t="s">
        <v>205</v>
      </c>
      <c r="I3" s="13" t="s">
        <v>5</v>
      </c>
    </row>
    <row r="4" spans="2:9" ht="19.5" customHeight="1" x14ac:dyDescent="0.4">
      <c r="B4" s="84" t="s">
        <v>206</v>
      </c>
      <c r="C4" s="85" t="s">
        <v>207</v>
      </c>
      <c r="D4" s="85" t="s">
        <v>208</v>
      </c>
      <c r="E4" s="86" t="s">
        <v>209</v>
      </c>
      <c r="F4" s="86" t="s">
        <v>10</v>
      </c>
      <c r="G4" s="87"/>
      <c r="H4" s="86"/>
      <c r="I4" s="85" t="s">
        <v>210</v>
      </c>
    </row>
    <row r="5" spans="2:9" ht="19.5" customHeight="1" x14ac:dyDescent="0.4">
      <c r="B5" s="88" t="s">
        <v>211</v>
      </c>
      <c r="C5" s="89" t="s">
        <v>212</v>
      </c>
      <c r="D5" s="89" t="s">
        <v>213</v>
      </c>
      <c r="E5" s="28" t="s">
        <v>209</v>
      </c>
      <c r="F5" s="28" t="s">
        <v>10</v>
      </c>
      <c r="G5" s="90"/>
      <c r="H5" s="28"/>
      <c r="I5" s="89" t="s">
        <v>210</v>
      </c>
    </row>
    <row r="6" spans="2:9" ht="19.5" customHeight="1" x14ac:dyDescent="0.4">
      <c r="B6" s="84" t="s">
        <v>214</v>
      </c>
      <c r="C6" s="85" t="s">
        <v>215</v>
      </c>
      <c r="D6" s="85" t="s">
        <v>216</v>
      </c>
      <c r="E6" s="86" t="s">
        <v>209</v>
      </c>
      <c r="F6" s="86" t="s">
        <v>10</v>
      </c>
      <c r="G6" s="87"/>
      <c r="H6" s="86"/>
      <c r="I6" s="85" t="s">
        <v>210</v>
      </c>
    </row>
    <row r="7" spans="2:9" ht="19.5" customHeight="1" x14ac:dyDescent="0.4">
      <c r="B7" s="88" t="s">
        <v>217</v>
      </c>
      <c r="C7" s="89" t="s">
        <v>218</v>
      </c>
      <c r="D7" s="89" t="s">
        <v>219</v>
      </c>
      <c r="E7" s="28" t="s">
        <v>209</v>
      </c>
      <c r="F7" s="28" t="s">
        <v>10</v>
      </c>
      <c r="G7" s="90"/>
      <c r="H7" s="28"/>
      <c r="I7" s="89" t="s">
        <v>210</v>
      </c>
    </row>
    <row r="8" spans="2:9" ht="19.5" customHeight="1" x14ac:dyDescent="0.4">
      <c r="B8" s="84" t="s">
        <v>220</v>
      </c>
      <c r="C8" s="85" t="s">
        <v>221</v>
      </c>
      <c r="D8" s="85" t="s">
        <v>222</v>
      </c>
      <c r="E8" s="86" t="s">
        <v>223</v>
      </c>
      <c r="F8" s="86" t="s">
        <v>10</v>
      </c>
      <c r="G8" s="87"/>
      <c r="H8" s="86"/>
      <c r="I8" s="85" t="s">
        <v>210</v>
      </c>
    </row>
    <row r="9" spans="2:9" ht="19.5" customHeight="1" x14ac:dyDescent="0.4">
      <c r="B9" s="88" t="s">
        <v>224</v>
      </c>
      <c r="C9" s="89" t="s">
        <v>225</v>
      </c>
      <c r="D9" s="89" t="s">
        <v>226</v>
      </c>
      <c r="E9" s="28" t="s">
        <v>223</v>
      </c>
      <c r="F9" s="28" t="s">
        <v>10</v>
      </c>
      <c r="G9" s="90"/>
      <c r="H9" s="28"/>
      <c r="I9" s="89" t="s">
        <v>210</v>
      </c>
    </row>
    <row r="10" spans="2:9" ht="19.5" customHeight="1" x14ac:dyDescent="0.4">
      <c r="B10" s="84" t="s">
        <v>227</v>
      </c>
      <c r="C10" s="85" t="s">
        <v>228</v>
      </c>
      <c r="D10" s="85" t="s">
        <v>208</v>
      </c>
      <c r="E10" s="86" t="s">
        <v>209</v>
      </c>
      <c r="F10" s="86" t="s">
        <v>10</v>
      </c>
      <c r="G10" s="87"/>
      <c r="H10" s="86"/>
      <c r="I10" s="85" t="s">
        <v>210</v>
      </c>
    </row>
    <row r="11" spans="2:9" ht="19.5" customHeight="1" x14ac:dyDescent="0.4">
      <c r="B11" s="88" t="s">
        <v>229</v>
      </c>
      <c r="C11" s="89" t="s">
        <v>230</v>
      </c>
      <c r="D11" s="89" t="s">
        <v>231</v>
      </c>
      <c r="E11" s="28" t="s">
        <v>209</v>
      </c>
      <c r="F11" s="28" t="s">
        <v>10</v>
      </c>
      <c r="G11" s="90"/>
      <c r="H11" s="28"/>
      <c r="I11" s="89" t="s">
        <v>210</v>
      </c>
    </row>
    <row r="12" spans="2:9" ht="19.5" customHeight="1" x14ac:dyDescent="0.4">
      <c r="B12" s="84" t="s">
        <v>232</v>
      </c>
      <c r="C12" s="85" t="s">
        <v>233</v>
      </c>
      <c r="D12" s="85" t="s">
        <v>226</v>
      </c>
      <c r="E12" s="86" t="s">
        <v>209</v>
      </c>
      <c r="F12" s="86" t="s">
        <v>10</v>
      </c>
      <c r="G12" s="87"/>
      <c r="H12" s="86"/>
      <c r="I12" s="85" t="s">
        <v>210</v>
      </c>
    </row>
    <row r="13" spans="2:9" ht="19.5" customHeight="1" x14ac:dyDescent="0.4">
      <c r="B13" s="88" t="s">
        <v>234</v>
      </c>
      <c r="C13" s="89" t="s">
        <v>235</v>
      </c>
      <c r="D13" s="89" t="s">
        <v>236</v>
      </c>
      <c r="E13" s="28" t="s">
        <v>209</v>
      </c>
      <c r="F13" s="28" t="s">
        <v>10</v>
      </c>
      <c r="G13" s="90"/>
      <c r="H13" s="28"/>
      <c r="I13" s="89" t="s">
        <v>210</v>
      </c>
    </row>
    <row r="14" spans="2:9" ht="18" customHeight="1" x14ac:dyDescent="0.4">
      <c r="B14" s="91"/>
      <c r="C14" s="92"/>
      <c r="D14" s="92"/>
      <c r="E14" s="91"/>
      <c r="F14" s="91"/>
      <c r="G14" s="91"/>
      <c r="H14" s="91"/>
      <c r="I14" s="92"/>
    </row>
    <row r="15" spans="2:9" ht="18" customHeight="1" x14ac:dyDescent="0.4">
      <c r="B15" s="48"/>
      <c r="C15" s="93"/>
      <c r="D15" s="93"/>
      <c r="E15" s="48"/>
      <c r="F15" s="48"/>
      <c r="G15" s="48"/>
      <c r="H15" s="48"/>
      <c r="I15" s="93"/>
    </row>
    <row r="16" spans="2:9" ht="18" customHeight="1" x14ac:dyDescent="0.4">
      <c r="B16" s="91"/>
      <c r="C16" s="92"/>
      <c r="D16" s="92"/>
      <c r="E16" s="91"/>
      <c r="F16" s="91"/>
      <c r="G16" s="91"/>
      <c r="H16" s="91"/>
      <c r="I16" s="92"/>
    </row>
    <row r="17" spans="2:9" ht="18" customHeight="1" x14ac:dyDescent="0.4">
      <c r="B17" s="48"/>
      <c r="C17" s="93"/>
      <c r="D17" s="93"/>
      <c r="E17" s="48"/>
      <c r="F17" s="48"/>
      <c r="G17" s="48"/>
      <c r="H17" s="48"/>
      <c r="I17" s="93"/>
    </row>
    <row r="18" spans="2:9" ht="18" customHeight="1" x14ac:dyDescent="0.4">
      <c r="B18" s="91"/>
      <c r="C18" s="92"/>
      <c r="D18" s="92"/>
      <c r="E18" s="91"/>
      <c r="F18" s="91"/>
      <c r="G18" s="91"/>
      <c r="H18" s="91"/>
      <c r="I18" s="92"/>
    </row>
    <row r="19" spans="2:9" ht="18" customHeight="1" x14ac:dyDescent="0.4">
      <c r="B19" s="48"/>
      <c r="C19" s="93"/>
      <c r="D19" s="93"/>
      <c r="E19" s="48"/>
      <c r="F19" s="48"/>
      <c r="G19" s="48"/>
      <c r="H19" s="48"/>
      <c r="I19" s="93"/>
    </row>
    <row r="20" spans="2:9" ht="18" customHeight="1" x14ac:dyDescent="0.4">
      <c r="B20" s="91"/>
      <c r="C20" s="92"/>
      <c r="D20" s="92"/>
      <c r="E20" s="91"/>
      <c r="F20" s="91"/>
      <c r="G20" s="91"/>
      <c r="H20" s="91"/>
      <c r="I20" s="92"/>
    </row>
    <row r="21" spans="2:9" ht="18" customHeight="1" x14ac:dyDescent="0.4">
      <c r="B21" s="48"/>
      <c r="C21" s="93"/>
      <c r="D21" s="93"/>
      <c r="E21" s="48"/>
      <c r="F21" s="48"/>
      <c r="G21" s="48"/>
      <c r="H21" s="48"/>
      <c r="I21" s="93"/>
    </row>
    <row r="22" spans="2:9" ht="18" customHeight="1" x14ac:dyDescent="0.4">
      <c r="B22" s="91"/>
      <c r="C22" s="92"/>
      <c r="D22" s="92"/>
      <c r="E22" s="91"/>
      <c r="F22" s="91"/>
      <c r="G22" s="91"/>
      <c r="H22" s="91"/>
      <c r="I22" s="92"/>
    </row>
    <row r="23" spans="2:9" ht="18" customHeight="1" x14ac:dyDescent="0.4">
      <c r="B23" s="48"/>
      <c r="C23" s="93"/>
      <c r="D23" s="93"/>
      <c r="E23" s="48"/>
      <c r="F23" s="48"/>
      <c r="G23" s="48"/>
      <c r="H23" s="48"/>
      <c r="I23" s="93"/>
    </row>
    <row r="24" spans="2:9" ht="18" customHeight="1" x14ac:dyDescent="0.4">
      <c r="B24" s="91"/>
      <c r="C24" s="92"/>
      <c r="D24" s="92"/>
      <c r="E24" s="91"/>
      <c r="F24" s="91"/>
      <c r="G24" s="91"/>
      <c r="H24" s="91"/>
      <c r="I24" s="92"/>
    </row>
    <row r="25" spans="2:9" ht="18" customHeight="1" x14ac:dyDescent="0.4">
      <c r="B25" s="48"/>
      <c r="C25" s="93"/>
      <c r="D25" s="93"/>
      <c r="E25" s="48"/>
      <c r="F25" s="48"/>
      <c r="G25" s="48"/>
      <c r="H25" s="48"/>
      <c r="I25" s="93"/>
    </row>
    <row r="26" spans="2:9" ht="18" customHeight="1" x14ac:dyDescent="0.4">
      <c r="B26" s="91"/>
      <c r="C26" s="92"/>
      <c r="D26" s="92"/>
      <c r="E26" s="91"/>
      <c r="F26" s="91"/>
      <c r="G26" s="91"/>
      <c r="H26" s="91"/>
      <c r="I26" s="92"/>
    </row>
    <row r="27" spans="2:9" ht="18" customHeight="1" x14ac:dyDescent="0.4">
      <c r="B27" s="48"/>
      <c r="C27" s="93"/>
      <c r="D27" s="93"/>
      <c r="E27" s="48"/>
      <c r="F27" s="48"/>
      <c r="G27" s="48"/>
      <c r="H27" s="48"/>
      <c r="I27" s="93"/>
    </row>
    <row r="28" spans="2:9" ht="18" customHeight="1" x14ac:dyDescent="0.4">
      <c r="B28" s="91"/>
      <c r="C28" s="92"/>
      <c r="D28" s="92"/>
      <c r="E28" s="91"/>
      <c r="F28" s="91"/>
      <c r="G28" s="91"/>
      <c r="H28" s="91"/>
      <c r="I28" s="92"/>
    </row>
    <row r="29" spans="2:9" ht="18" customHeight="1" x14ac:dyDescent="0.4">
      <c r="B29" s="48"/>
      <c r="C29" s="93"/>
      <c r="D29" s="93"/>
      <c r="E29" s="48"/>
      <c r="F29" s="48"/>
      <c r="G29" s="48"/>
      <c r="H29" s="48"/>
      <c r="I29" s="93"/>
    </row>
    <row r="30" spans="2:9" ht="18" customHeight="1" x14ac:dyDescent="0.4">
      <c r="B30" s="91"/>
      <c r="C30" s="92"/>
      <c r="D30" s="92"/>
      <c r="E30" s="91"/>
      <c r="F30" s="91"/>
      <c r="G30" s="91"/>
      <c r="H30" s="91"/>
      <c r="I30" s="92"/>
    </row>
    <row r="31" spans="2:9" ht="18" customHeight="1" x14ac:dyDescent="0.4">
      <c r="B31" s="48"/>
      <c r="C31" s="93"/>
      <c r="D31" s="93"/>
      <c r="E31" s="48"/>
      <c r="F31" s="48"/>
      <c r="G31" s="48"/>
      <c r="H31" s="48"/>
      <c r="I31" s="93"/>
    </row>
    <row r="32" spans="2:9" ht="18" customHeight="1" x14ac:dyDescent="0.4">
      <c r="B32" s="91"/>
      <c r="C32" s="92"/>
      <c r="D32" s="92"/>
      <c r="E32" s="91"/>
      <c r="F32" s="91"/>
      <c r="G32" s="91"/>
      <c r="H32" s="91"/>
      <c r="I32" s="92"/>
    </row>
    <row r="33" spans="2:9" ht="18" customHeight="1" x14ac:dyDescent="0.4">
      <c r="B33" s="48"/>
      <c r="C33" s="93"/>
      <c r="D33" s="93"/>
      <c r="E33" s="48"/>
      <c r="F33" s="48"/>
      <c r="G33" s="48"/>
      <c r="H33" s="48"/>
      <c r="I33" s="93"/>
    </row>
    <row r="34" spans="2:9" ht="18" customHeight="1" x14ac:dyDescent="0.4">
      <c r="B34" s="91"/>
      <c r="C34" s="92"/>
      <c r="D34" s="92"/>
      <c r="E34" s="91"/>
      <c r="F34" s="91"/>
      <c r="G34" s="91"/>
      <c r="H34" s="91"/>
      <c r="I34" s="92"/>
    </row>
    <row r="35" spans="2:9" ht="18" customHeight="1" x14ac:dyDescent="0.4">
      <c r="B35" s="48"/>
      <c r="C35" s="93"/>
      <c r="D35" s="93"/>
      <c r="E35" s="48"/>
      <c r="F35" s="48"/>
      <c r="G35" s="48"/>
      <c r="H35" s="48"/>
      <c r="I35" s="93"/>
    </row>
    <row r="36" spans="2:9" ht="18" customHeight="1" x14ac:dyDescent="0.4">
      <c r="B36" s="91"/>
      <c r="C36" s="92"/>
      <c r="D36" s="92"/>
      <c r="E36" s="91"/>
      <c r="F36" s="91"/>
      <c r="G36" s="91"/>
      <c r="H36" s="91"/>
      <c r="I36" s="92"/>
    </row>
    <row r="37" spans="2:9" ht="18" customHeight="1" x14ac:dyDescent="0.4">
      <c r="B37" s="48"/>
      <c r="C37" s="93"/>
      <c r="D37" s="93"/>
      <c r="E37" s="48"/>
      <c r="F37" s="48"/>
      <c r="G37" s="48"/>
      <c r="H37" s="48"/>
      <c r="I37" s="93"/>
    </row>
    <row r="38" spans="2:9" ht="18" customHeight="1" x14ac:dyDescent="0.4">
      <c r="B38" s="91"/>
      <c r="C38" s="92"/>
      <c r="D38" s="92"/>
      <c r="E38" s="91"/>
      <c r="F38" s="91"/>
      <c r="G38" s="91"/>
      <c r="H38" s="91"/>
      <c r="I38" s="92"/>
    </row>
    <row r="39" spans="2:9" ht="18" customHeight="1" x14ac:dyDescent="0.4">
      <c r="B39" s="48"/>
      <c r="C39" s="93"/>
      <c r="D39" s="93"/>
      <c r="E39" s="48"/>
      <c r="F39" s="48"/>
      <c r="G39" s="48"/>
      <c r="H39" s="48"/>
      <c r="I39" s="93"/>
    </row>
    <row r="40" spans="2:9" ht="18" customHeight="1" x14ac:dyDescent="0.4">
      <c r="B40" s="91"/>
      <c r="C40" s="92"/>
      <c r="D40" s="92"/>
      <c r="E40" s="91"/>
      <c r="F40" s="91"/>
      <c r="G40" s="91"/>
      <c r="H40" s="91"/>
      <c r="I40" s="92"/>
    </row>
    <row r="41" spans="2:9" ht="18" customHeight="1" x14ac:dyDescent="0.4">
      <c r="B41" s="48"/>
      <c r="C41" s="93"/>
      <c r="D41" s="93"/>
      <c r="E41" s="48"/>
      <c r="F41" s="48"/>
      <c r="G41" s="48"/>
      <c r="H41" s="48"/>
      <c r="I41" s="93"/>
    </row>
    <row r="42" spans="2:9" ht="18" customHeight="1" x14ac:dyDescent="0.4">
      <c r="B42" s="91"/>
      <c r="C42" s="92"/>
      <c r="D42" s="92"/>
      <c r="E42" s="91"/>
      <c r="F42" s="91"/>
      <c r="G42" s="91"/>
      <c r="H42" s="91"/>
      <c r="I42" s="92"/>
    </row>
    <row r="43" spans="2:9" ht="18" customHeight="1" x14ac:dyDescent="0.4">
      <c r="B43" s="48"/>
      <c r="C43" s="93"/>
      <c r="D43" s="93"/>
      <c r="E43" s="48"/>
      <c r="F43" s="48"/>
      <c r="G43" s="48"/>
      <c r="H43" s="48"/>
      <c r="I43" s="93"/>
    </row>
    <row r="44" spans="2:9" ht="18" customHeight="1" x14ac:dyDescent="0.4">
      <c r="B44" s="91"/>
      <c r="C44" s="92"/>
      <c r="D44" s="92"/>
      <c r="E44" s="91"/>
      <c r="F44" s="91"/>
      <c r="G44" s="91"/>
      <c r="H44" s="91"/>
      <c r="I44" s="92"/>
    </row>
    <row r="45" spans="2:9" ht="18" customHeight="1" x14ac:dyDescent="0.4">
      <c r="B45" s="48"/>
      <c r="C45" s="93"/>
      <c r="D45" s="93"/>
      <c r="E45" s="48"/>
      <c r="F45" s="48"/>
      <c r="G45" s="48"/>
      <c r="H45" s="48"/>
      <c r="I45" s="93"/>
    </row>
    <row r="46" spans="2:9" ht="18" customHeight="1" x14ac:dyDescent="0.4">
      <c r="B46" s="91"/>
      <c r="C46" s="92"/>
      <c r="D46" s="92"/>
      <c r="E46" s="91"/>
      <c r="F46" s="91"/>
      <c r="G46" s="91"/>
      <c r="H46" s="91"/>
      <c r="I46" s="92"/>
    </row>
    <row r="47" spans="2:9" ht="18" customHeight="1" x14ac:dyDescent="0.4">
      <c r="B47" s="48"/>
      <c r="C47" s="93"/>
      <c r="D47" s="93"/>
      <c r="E47" s="48"/>
      <c r="F47" s="48"/>
      <c r="G47" s="48"/>
      <c r="H47" s="48"/>
      <c r="I47" s="93"/>
    </row>
    <row r="48" spans="2:9" ht="18" customHeight="1" x14ac:dyDescent="0.4">
      <c r="B48" s="91"/>
      <c r="C48" s="92"/>
      <c r="D48" s="92"/>
      <c r="E48" s="91"/>
      <c r="F48" s="91"/>
      <c r="G48" s="91"/>
      <c r="H48" s="91"/>
      <c r="I48" s="92"/>
    </row>
    <row r="49" spans="2:9" ht="18" customHeight="1" x14ac:dyDescent="0.4">
      <c r="B49" s="48"/>
      <c r="C49" s="93"/>
      <c r="D49" s="93"/>
      <c r="E49" s="48"/>
      <c r="F49" s="48"/>
      <c r="G49" s="48"/>
      <c r="H49" s="48"/>
      <c r="I49" s="93"/>
    </row>
    <row r="50" spans="2:9" ht="18" customHeight="1" x14ac:dyDescent="0.4">
      <c r="B50" s="91"/>
      <c r="C50" s="92"/>
      <c r="D50" s="92"/>
      <c r="E50" s="91"/>
      <c r="F50" s="91"/>
      <c r="G50" s="91"/>
      <c r="H50" s="91"/>
      <c r="I50" s="92"/>
    </row>
    <row r="51" spans="2:9" ht="18" customHeight="1" x14ac:dyDescent="0.4">
      <c r="B51" s="48"/>
      <c r="C51" s="93"/>
      <c r="D51" s="93"/>
      <c r="E51" s="48"/>
      <c r="F51" s="48"/>
      <c r="G51" s="48"/>
      <c r="H51" s="48"/>
      <c r="I51" s="93"/>
    </row>
    <row r="52" spans="2:9" ht="18" customHeight="1" x14ac:dyDescent="0.4">
      <c r="B52" s="91"/>
      <c r="C52" s="92"/>
      <c r="D52" s="92"/>
      <c r="E52" s="91"/>
      <c r="F52" s="91"/>
      <c r="G52" s="91"/>
      <c r="H52" s="91"/>
      <c r="I52" s="92"/>
    </row>
    <row r="53" spans="2:9" ht="18" customHeight="1" x14ac:dyDescent="0.4">
      <c r="B53" s="48"/>
      <c r="C53" s="93"/>
      <c r="D53" s="93"/>
      <c r="E53" s="48"/>
      <c r="F53" s="48"/>
      <c r="G53" s="48"/>
      <c r="H53" s="48"/>
      <c r="I53" s="93"/>
    </row>
    <row r="54" spans="2:9" ht="18" customHeight="1" x14ac:dyDescent="0.4">
      <c r="B54" s="91"/>
      <c r="C54" s="92"/>
      <c r="D54" s="92"/>
      <c r="E54" s="91"/>
      <c r="F54" s="91"/>
      <c r="G54" s="91"/>
      <c r="H54" s="91"/>
      <c r="I54" s="92"/>
    </row>
    <row r="55" spans="2:9" ht="18" customHeight="1" x14ac:dyDescent="0.4">
      <c r="B55" s="48"/>
      <c r="C55" s="93"/>
      <c r="D55" s="93"/>
      <c r="E55" s="48"/>
      <c r="F55" s="48"/>
      <c r="G55" s="48"/>
      <c r="H55" s="48"/>
      <c r="I55" s="93"/>
    </row>
    <row r="56" spans="2:9" ht="18" customHeight="1" x14ac:dyDescent="0.4">
      <c r="B56" s="91"/>
      <c r="C56" s="92"/>
      <c r="D56" s="92"/>
      <c r="E56" s="91"/>
      <c r="F56" s="91"/>
      <c r="G56" s="91"/>
      <c r="H56" s="91"/>
      <c r="I56" s="92"/>
    </row>
    <row r="57" spans="2:9" ht="18" customHeight="1" x14ac:dyDescent="0.4">
      <c r="B57" s="48"/>
      <c r="C57" s="93"/>
      <c r="D57" s="93"/>
      <c r="E57" s="48"/>
      <c r="F57" s="48"/>
      <c r="G57" s="48"/>
      <c r="H57" s="48"/>
      <c r="I57" s="93"/>
    </row>
    <row r="58" spans="2:9" ht="18" customHeight="1" x14ac:dyDescent="0.4">
      <c r="B58" s="91"/>
      <c r="C58" s="92"/>
      <c r="D58" s="92"/>
      <c r="E58" s="91"/>
      <c r="F58" s="91"/>
      <c r="G58" s="91"/>
      <c r="H58" s="91"/>
      <c r="I58" s="92"/>
    </row>
    <row r="59" spans="2:9" ht="18" customHeight="1" x14ac:dyDescent="0.4">
      <c r="B59" s="48"/>
      <c r="C59" s="93"/>
      <c r="D59" s="93"/>
      <c r="E59" s="48"/>
      <c r="F59" s="48"/>
      <c r="G59" s="48"/>
      <c r="H59" s="48"/>
      <c r="I59" s="93"/>
    </row>
    <row r="60" spans="2:9" ht="18" customHeight="1" x14ac:dyDescent="0.4">
      <c r="B60" s="91"/>
      <c r="C60" s="92"/>
      <c r="D60" s="92"/>
      <c r="E60" s="91"/>
      <c r="F60" s="91"/>
      <c r="G60" s="91"/>
      <c r="H60" s="91"/>
      <c r="I60" s="92"/>
    </row>
    <row r="61" spans="2:9" ht="18" customHeight="1" x14ac:dyDescent="0.4">
      <c r="B61" s="48"/>
      <c r="C61" s="93"/>
      <c r="D61" s="93"/>
      <c r="E61" s="48"/>
      <c r="F61" s="48"/>
      <c r="G61" s="48"/>
      <c r="H61" s="48"/>
      <c r="I61" s="93"/>
    </row>
    <row r="62" spans="2:9" ht="18" customHeight="1" x14ac:dyDescent="0.4">
      <c r="B62" s="91"/>
      <c r="C62" s="92"/>
      <c r="D62" s="92"/>
      <c r="E62" s="91"/>
      <c r="F62" s="91"/>
      <c r="G62" s="91"/>
      <c r="H62" s="91"/>
      <c r="I62" s="92"/>
    </row>
    <row r="63" spans="2:9" ht="18" customHeight="1" x14ac:dyDescent="0.4">
      <c r="B63" s="48"/>
      <c r="C63" s="93"/>
      <c r="D63" s="93"/>
      <c r="E63" s="48"/>
      <c r="F63" s="48"/>
      <c r="G63" s="48"/>
      <c r="H63" s="48"/>
      <c r="I63" s="93"/>
    </row>
    <row r="64" spans="2:9" ht="18" customHeight="1" x14ac:dyDescent="0.4">
      <c r="B64" s="91"/>
      <c r="C64" s="92"/>
      <c r="D64" s="92"/>
      <c r="E64" s="91"/>
      <c r="F64" s="91"/>
      <c r="G64" s="91"/>
      <c r="H64" s="91"/>
      <c r="I64" s="92"/>
    </row>
    <row r="65" spans="2:9" ht="18" customHeight="1" x14ac:dyDescent="0.4">
      <c r="B65" s="48"/>
      <c r="C65" s="93"/>
      <c r="D65" s="93"/>
      <c r="E65" s="48"/>
      <c r="F65" s="48"/>
      <c r="G65" s="48"/>
      <c r="H65" s="48"/>
      <c r="I65" s="93"/>
    </row>
    <row r="66" spans="2:9" ht="18" customHeight="1" x14ac:dyDescent="0.4">
      <c r="B66" s="91"/>
      <c r="C66" s="92"/>
      <c r="D66" s="92"/>
      <c r="E66" s="91"/>
      <c r="F66" s="91"/>
      <c r="G66" s="91"/>
      <c r="H66" s="91"/>
      <c r="I66" s="92"/>
    </row>
    <row r="67" spans="2:9" ht="18" customHeight="1" x14ac:dyDescent="0.4">
      <c r="B67" s="48"/>
      <c r="C67" s="93"/>
      <c r="D67" s="93"/>
      <c r="E67" s="48"/>
      <c r="F67" s="48"/>
      <c r="G67" s="48"/>
      <c r="H67" s="48"/>
      <c r="I67" s="93"/>
    </row>
    <row r="68" spans="2:9" ht="18" customHeight="1" x14ac:dyDescent="0.4">
      <c r="B68" s="91"/>
      <c r="C68" s="92"/>
      <c r="D68" s="92"/>
      <c r="E68" s="91"/>
      <c r="F68" s="91"/>
      <c r="G68" s="91"/>
      <c r="H68" s="91"/>
      <c r="I68" s="92"/>
    </row>
    <row r="69" spans="2:9" ht="18" customHeight="1" x14ac:dyDescent="0.4">
      <c r="B69" s="48"/>
      <c r="C69" s="93"/>
      <c r="D69" s="93"/>
      <c r="E69" s="48"/>
      <c r="F69" s="48"/>
      <c r="G69" s="48"/>
      <c r="H69" s="48"/>
      <c r="I69" s="93"/>
    </row>
    <row r="70" spans="2:9" ht="18" customHeight="1" x14ac:dyDescent="0.4">
      <c r="B70" s="91"/>
      <c r="C70" s="92"/>
      <c r="D70" s="92"/>
      <c r="E70" s="91"/>
      <c r="F70" s="91"/>
      <c r="G70" s="91"/>
      <c r="H70" s="91"/>
      <c r="I70" s="92"/>
    </row>
    <row r="71" spans="2:9" ht="18" customHeight="1" x14ac:dyDescent="0.4">
      <c r="B71" s="48"/>
      <c r="C71" s="93"/>
      <c r="D71" s="93"/>
      <c r="E71" s="48"/>
      <c r="F71" s="48"/>
      <c r="G71" s="48"/>
      <c r="H71" s="48"/>
      <c r="I71" s="93"/>
    </row>
    <row r="72" spans="2:9" ht="18" customHeight="1" x14ac:dyDescent="0.4">
      <c r="B72" s="91"/>
      <c r="C72" s="92"/>
      <c r="D72" s="92"/>
      <c r="E72" s="91"/>
      <c r="F72" s="91"/>
      <c r="G72" s="91"/>
      <c r="H72" s="91"/>
      <c r="I72" s="92"/>
    </row>
    <row r="73" spans="2:9" ht="18" customHeight="1" x14ac:dyDescent="0.4">
      <c r="B73" s="48"/>
      <c r="C73" s="93"/>
      <c r="D73" s="93"/>
      <c r="E73" s="48"/>
      <c r="F73" s="48"/>
      <c r="G73" s="48"/>
      <c r="H73" s="48"/>
      <c r="I73" s="93"/>
    </row>
    <row r="74" spans="2:9" ht="18" customHeight="1" x14ac:dyDescent="0.4">
      <c r="B74" s="91"/>
      <c r="C74" s="92"/>
      <c r="D74" s="92"/>
      <c r="E74" s="91"/>
      <c r="F74" s="91"/>
      <c r="G74" s="91"/>
      <c r="H74" s="91"/>
      <c r="I74" s="92"/>
    </row>
    <row r="75" spans="2:9" ht="18" customHeight="1" x14ac:dyDescent="0.4">
      <c r="B75" s="48"/>
      <c r="C75" s="93"/>
      <c r="D75" s="93"/>
      <c r="E75" s="48"/>
      <c r="F75" s="48"/>
      <c r="G75" s="48"/>
      <c r="H75" s="48"/>
      <c r="I75" s="93"/>
    </row>
    <row r="76" spans="2:9" ht="18" customHeight="1" x14ac:dyDescent="0.4">
      <c r="B76" s="91"/>
      <c r="C76" s="92"/>
      <c r="D76" s="92"/>
      <c r="E76" s="91"/>
      <c r="F76" s="91"/>
      <c r="G76" s="91"/>
      <c r="H76" s="91"/>
      <c r="I76" s="92"/>
    </row>
    <row r="77" spans="2:9" ht="18" customHeight="1" x14ac:dyDescent="0.4">
      <c r="B77" s="48"/>
      <c r="C77" s="93"/>
      <c r="D77" s="93"/>
      <c r="E77" s="48"/>
      <c r="F77" s="48"/>
      <c r="G77" s="48"/>
      <c r="H77" s="48"/>
      <c r="I77" s="93"/>
    </row>
    <row r="78" spans="2:9" ht="18" customHeight="1" x14ac:dyDescent="0.4">
      <c r="B78" s="91"/>
      <c r="C78" s="92"/>
      <c r="D78" s="92"/>
      <c r="E78" s="91"/>
      <c r="F78" s="91"/>
      <c r="G78" s="91"/>
      <c r="H78" s="91"/>
      <c r="I78" s="92"/>
    </row>
    <row r="79" spans="2:9" ht="18" customHeight="1" x14ac:dyDescent="0.4">
      <c r="B79" s="48"/>
      <c r="C79" s="93"/>
      <c r="D79" s="93"/>
      <c r="E79" s="48"/>
      <c r="F79" s="48"/>
      <c r="G79" s="48"/>
      <c r="H79" s="48"/>
      <c r="I79" s="93"/>
    </row>
    <row r="80" spans="2:9" ht="18" customHeight="1" x14ac:dyDescent="0.4">
      <c r="B80" s="91"/>
      <c r="C80" s="92"/>
      <c r="D80" s="92"/>
      <c r="E80" s="91"/>
      <c r="F80" s="91"/>
      <c r="G80" s="91"/>
      <c r="H80" s="91"/>
      <c r="I80" s="92"/>
    </row>
    <row r="81" spans="2:9" ht="18" customHeight="1" x14ac:dyDescent="0.4">
      <c r="B81" s="48"/>
      <c r="C81" s="93"/>
      <c r="D81" s="93"/>
      <c r="E81" s="48"/>
      <c r="F81" s="48"/>
      <c r="G81" s="48"/>
      <c r="H81" s="48"/>
      <c r="I81" s="93"/>
    </row>
    <row r="82" spans="2:9" ht="18" customHeight="1" x14ac:dyDescent="0.4">
      <c r="B82" s="91"/>
      <c r="C82" s="92"/>
      <c r="D82" s="92"/>
      <c r="E82" s="91"/>
      <c r="F82" s="91"/>
      <c r="G82" s="91"/>
      <c r="H82" s="91"/>
      <c r="I82" s="92"/>
    </row>
    <row r="83" spans="2:9" ht="18" customHeight="1" x14ac:dyDescent="0.4">
      <c r="B83" s="48"/>
      <c r="C83" s="93"/>
      <c r="D83" s="93"/>
      <c r="E83" s="48"/>
      <c r="F83" s="48"/>
      <c r="G83" s="48"/>
      <c r="H83" s="48"/>
      <c r="I83" s="93"/>
    </row>
    <row r="84" spans="2:9" ht="18" customHeight="1" x14ac:dyDescent="0.4">
      <c r="B84" s="91"/>
      <c r="C84" s="92"/>
      <c r="D84" s="92"/>
      <c r="E84" s="91"/>
      <c r="F84" s="91"/>
      <c r="G84" s="91"/>
      <c r="H84" s="91"/>
      <c r="I84" s="92"/>
    </row>
    <row r="85" spans="2:9" ht="18" customHeight="1" x14ac:dyDescent="0.4">
      <c r="B85" s="48"/>
      <c r="C85" s="93"/>
      <c r="D85" s="93"/>
      <c r="E85" s="48"/>
      <c r="F85" s="48"/>
      <c r="G85" s="48"/>
      <c r="H85" s="48"/>
      <c r="I85" s="93"/>
    </row>
    <row r="86" spans="2:9" ht="18" customHeight="1" x14ac:dyDescent="0.4">
      <c r="B86" s="91"/>
      <c r="C86" s="92"/>
      <c r="D86" s="92"/>
      <c r="E86" s="91"/>
      <c r="F86" s="91"/>
      <c r="G86" s="91"/>
      <c r="H86" s="91"/>
      <c r="I86" s="92"/>
    </row>
    <row r="87" spans="2:9" ht="18" customHeight="1" x14ac:dyDescent="0.4">
      <c r="B87" s="48"/>
      <c r="C87" s="93"/>
      <c r="D87" s="93"/>
      <c r="E87" s="48"/>
      <c r="F87" s="48"/>
      <c r="G87" s="48"/>
      <c r="H87" s="48"/>
      <c r="I87" s="93"/>
    </row>
    <row r="88" spans="2:9" ht="18" customHeight="1" x14ac:dyDescent="0.4">
      <c r="B88" s="91"/>
      <c r="C88" s="92"/>
      <c r="D88" s="92"/>
      <c r="E88" s="91"/>
      <c r="F88" s="91"/>
      <c r="G88" s="91"/>
      <c r="H88" s="91"/>
      <c r="I88" s="92"/>
    </row>
    <row r="89" spans="2:9" ht="18" customHeight="1" x14ac:dyDescent="0.4">
      <c r="B89" s="48"/>
      <c r="C89" s="93"/>
      <c r="D89" s="93"/>
      <c r="E89" s="48"/>
      <c r="F89" s="48"/>
      <c r="G89" s="48"/>
      <c r="H89" s="48"/>
      <c r="I89" s="93"/>
    </row>
    <row r="90" spans="2:9" ht="18" customHeight="1" x14ac:dyDescent="0.4">
      <c r="B90" s="91"/>
      <c r="C90" s="92"/>
      <c r="D90" s="92"/>
      <c r="E90" s="91"/>
      <c r="F90" s="91"/>
      <c r="G90" s="91"/>
      <c r="H90" s="91"/>
      <c r="I90" s="92"/>
    </row>
    <row r="91" spans="2:9" ht="18" customHeight="1" x14ac:dyDescent="0.4">
      <c r="B91" s="48"/>
      <c r="C91" s="93"/>
      <c r="D91" s="93"/>
      <c r="E91" s="48"/>
      <c r="F91" s="48"/>
      <c r="G91" s="48"/>
      <c r="H91" s="48"/>
      <c r="I91" s="93"/>
    </row>
    <row r="92" spans="2:9" ht="18" customHeight="1" x14ac:dyDescent="0.4">
      <c r="B92" s="91"/>
      <c r="C92" s="92"/>
      <c r="D92" s="92"/>
      <c r="E92" s="91"/>
      <c r="F92" s="91"/>
      <c r="G92" s="91"/>
      <c r="H92" s="91"/>
      <c r="I92" s="92"/>
    </row>
    <row r="93" spans="2:9" ht="18" customHeight="1" x14ac:dyDescent="0.4">
      <c r="B93" s="48"/>
      <c r="C93" s="93"/>
      <c r="D93" s="93"/>
      <c r="E93" s="48"/>
      <c r="F93" s="48"/>
      <c r="G93" s="48"/>
      <c r="H93" s="48"/>
      <c r="I93" s="93"/>
    </row>
    <row r="94" spans="2:9" ht="18" customHeight="1" x14ac:dyDescent="0.4">
      <c r="B94" s="91"/>
      <c r="C94" s="92"/>
      <c r="D94" s="92"/>
      <c r="E94" s="91"/>
      <c r="F94" s="91"/>
      <c r="G94" s="91"/>
      <c r="H94" s="91"/>
      <c r="I94" s="92"/>
    </row>
    <row r="95" spans="2:9" ht="18" customHeight="1" x14ac:dyDescent="0.4">
      <c r="B95" s="48"/>
      <c r="C95" s="93"/>
      <c r="D95" s="93"/>
      <c r="E95" s="48"/>
      <c r="F95" s="48"/>
      <c r="G95" s="48"/>
      <c r="H95" s="48"/>
      <c r="I95" s="93"/>
    </row>
    <row r="96" spans="2:9" ht="18" customHeight="1" x14ac:dyDescent="0.4">
      <c r="B96" s="91"/>
      <c r="C96" s="92"/>
      <c r="D96" s="92"/>
      <c r="E96" s="91"/>
      <c r="F96" s="91"/>
      <c r="G96" s="91"/>
      <c r="H96" s="91"/>
      <c r="I96" s="92"/>
    </row>
    <row r="97" spans="2:9" ht="18" customHeight="1" x14ac:dyDescent="0.4">
      <c r="B97" s="48"/>
      <c r="C97" s="93"/>
      <c r="D97" s="93"/>
      <c r="E97" s="48"/>
      <c r="F97" s="48"/>
      <c r="G97" s="48"/>
      <c r="H97" s="48"/>
      <c r="I97" s="93"/>
    </row>
    <row r="98" spans="2:9" ht="18" customHeight="1" x14ac:dyDescent="0.4">
      <c r="B98" s="91"/>
      <c r="C98" s="92"/>
      <c r="D98" s="92"/>
      <c r="E98" s="91"/>
      <c r="F98" s="91"/>
      <c r="G98" s="91"/>
      <c r="H98" s="91"/>
      <c r="I98" s="92"/>
    </row>
    <row r="99" spans="2:9" ht="18" customHeight="1" x14ac:dyDescent="0.4">
      <c r="B99" s="48"/>
      <c r="C99" s="93"/>
      <c r="D99" s="93"/>
      <c r="E99" s="48"/>
      <c r="F99" s="48"/>
      <c r="G99" s="48"/>
      <c r="H99" s="48"/>
      <c r="I99" s="93"/>
    </row>
    <row r="100" spans="2:9" ht="18" customHeight="1" x14ac:dyDescent="0.4">
      <c r="B100" s="91"/>
      <c r="C100" s="92"/>
      <c r="D100" s="92"/>
      <c r="E100" s="91"/>
      <c r="F100" s="91"/>
      <c r="G100" s="91"/>
      <c r="H100" s="91"/>
      <c r="I100" s="92"/>
    </row>
    <row r="101" spans="2:9" ht="18" customHeight="1" x14ac:dyDescent="0.4">
      <c r="B101" s="48"/>
      <c r="C101" s="93"/>
      <c r="D101" s="93"/>
      <c r="E101" s="48"/>
      <c r="F101" s="48"/>
      <c r="G101" s="48"/>
      <c r="H101" s="48"/>
      <c r="I101" s="93"/>
    </row>
    <row r="102" spans="2:9" ht="18" customHeight="1" x14ac:dyDescent="0.4">
      <c r="B102" s="91"/>
      <c r="C102" s="92"/>
      <c r="D102" s="92"/>
      <c r="E102" s="91"/>
      <c r="F102" s="91"/>
      <c r="G102" s="91"/>
      <c r="H102" s="91"/>
      <c r="I102" s="92"/>
    </row>
    <row r="103" spans="2:9" ht="18" customHeight="1" x14ac:dyDescent="0.4">
      <c r="B103" s="48"/>
      <c r="C103" s="93"/>
      <c r="D103" s="93"/>
      <c r="E103" s="48"/>
      <c r="F103" s="48"/>
      <c r="G103" s="48"/>
      <c r="H103" s="48"/>
      <c r="I103" s="93"/>
    </row>
    <row r="104" spans="2:9" ht="18" customHeight="1" x14ac:dyDescent="0.4">
      <c r="B104" s="91"/>
      <c r="C104" s="92"/>
      <c r="D104" s="92"/>
      <c r="E104" s="91"/>
      <c r="F104" s="91"/>
      <c r="G104" s="91"/>
      <c r="H104" s="91"/>
      <c r="I104" s="92"/>
    </row>
    <row r="105" spans="2:9" ht="18" customHeight="1" x14ac:dyDescent="0.4">
      <c r="B105" s="48"/>
      <c r="C105" s="93"/>
      <c r="D105" s="93"/>
      <c r="E105" s="48"/>
      <c r="F105" s="48"/>
      <c r="G105" s="48"/>
      <c r="H105" s="48"/>
      <c r="I105" s="93"/>
    </row>
    <row r="106" spans="2:9" ht="18" customHeight="1" x14ac:dyDescent="0.4">
      <c r="B106" s="91"/>
      <c r="C106" s="92"/>
      <c r="D106" s="92"/>
      <c r="E106" s="91"/>
      <c r="F106" s="91"/>
      <c r="G106" s="91"/>
      <c r="H106" s="91"/>
      <c r="I106" s="92"/>
    </row>
    <row r="107" spans="2:9" ht="18" customHeight="1" x14ac:dyDescent="0.4">
      <c r="B107" s="48"/>
      <c r="C107" s="93"/>
      <c r="D107" s="93"/>
      <c r="E107" s="48"/>
      <c r="F107" s="48"/>
      <c r="G107" s="48"/>
      <c r="H107" s="48"/>
      <c r="I107" s="93"/>
    </row>
    <row r="108" spans="2:9" ht="18" customHeight="1" x14ac:dyDescent="0.4">
      <c r="B108" s="91"/>
      <c r="C108" s="92"/>
      <c r="D108" s="92"/>
      <c r="E108" s="91"/>
      <c r="F108" s="91"/>
      <c r="G108" s="91"/>
      <c r="H108" s="91"/>
      <c r="I108" s="92"/>
    </row>
    <row r="109" spans="2:9" ht="18" customHeight="1" x14ac:dyDescent="0.4">
      <c r="B109" s="48"/>
      <c r="C109" s="93"/>
      <c r="D109" s="93"/>
      <c r="E109" s="48"/>
      <c r="F109" s="48"/>
      <c r="G109" s="48"/>
      <c r="H109" s="48"/>
      <c r="I109" s="93"/>
    </row>
    <row r="110" spans="2:9" ht="18" customHeight="1" x14ac:dyDescent="0.4">
      <c r="B110" s="91"/>
      <c r="C110" s="92"/>
      <c r="D110" s="92"/>
      <c r="E110" s="91"/>
      <c r="F110" s="91"/>
      <c r="G110" s="91"/>
      <c r="H110" s="91"/>
      <c r="I110" s="92"/>
    </row>
    <row r="111" spans="2:9" ht="18" customHeight="1" x14ac:dyDescent="0.4">
      <c r="B111" s="48"/>
      <c r="C111" s="93"/>
      <c r="D111" s="93"/>
      <c r="E111" s="48"/>
      <c r="F111" s="48"/>
      <c r="G111" s="48"/>
      <c r="H111" s="48"/>
      <c r="I111" s="93"/>
    </row>
    <row r="112" spans="2:9" ht="18" customHeight="1" x14ac:dyDescent="0.4">
      <c r="B112" s="91"/>
      <c r="C112" s="92"/>
      <c r="D112" s="92"/>
      <c r="E112" s="91"/>
      <c r="F112" s="91"/>
      <c r="G112" s="91"/>
      <c r="H112" s="91"/>
      <c r="I112" s="92"/>
    </row>
    <row r="113" spans="2:9" ht="18" customHeight="1" x14ac:dyDescent="0.4">
      <c r="B113" s="48"/>
      <c r="C113" s="93"/>
      <c r="D113" s="93"/>
      <c r="E113" s="48"/>
      <c r="F113" s="48"/>
      <c r="G113" s="48"/>
      <c r="H113" s="48"/>
      <c r="I113" s="93"/>
    </row>
    <row r="114" spans="2:9" ht="18" customHeight="1" x14ac:dyDescent="0.4">
      <c r="B114" s="91"/>
      <c r="C114" s="92"/>
      <c r="D114" s="92"/>
      <c r="E114" s="91"/>
      <c r="F114" s="91"/>
      <c r="G114" s="91"/>
      <c r="H114" s="91"/>
      <c r="I114" s="92"/>
    </row>
    <row r="115" spans="2:9" ht="18" customHeight="1" x14ac:dyDescent="0.4">
      <c r="B115" s="48"/>
      <c r="C115" s="93"/>
      <c r="D115" s="93"/>
      <c r="E115" s="48"/>
      <c r="F115" s="48"/>
      <c r="G115" s="48"/>
      <c r="H115" s="48"/>
      <c r="I115" s="93"/>
    </row>
    <row r="116" spans="2:9" ht="18" customHeight="1" x14ac:dyDescent="0.4">
      <c r="B116" s="91"/>
      <c r="C116" s="92"/>
      <c r="D116" s="92"/>
      <c r="E116" s="91"/>
      <c r="F116" s="91"/>
      <c r="G116" s="91"/>
      <c r="H116" s="91"/>
      <c r="I116" s="92"/>
    </row>
    <row r="117" spans="2:9" ht="18" customHeight="1" x14ac:dyDescent="0.4">
      <c r="B117" s="48"/>
      <c r="C117" s="93"/>
      <c r="D117" s="93"/>
      <c r="E117" s="48"/>
      <c r="F117" s="48"/>
      <c r="G117" s="48"/>
      <c r="H117" s="48"/>
      <c r="I117" s="93"/>
    </row>
    <row r="118" spans="2:9" ht="18" customHeight="1" x14ac:dyDescent="0.4">
      <c r="B118" s="91"/>
      <c r="C118" s="92"/>
      <c r="D118" s="92"/>
      <c r="E118" s="91"/>
      <c r="F118" s="91"/>
      <c r="G118" s="91"/>
      <c r="H118" s="91"/>
      <c r="I118" s="92"/>
    </row>
    <row r="119" spans="2:9" ht="18" customHeight="1" x14ac:dyDescent="0.4">
      <c r="B119" s="48"/>
      <c r="C119" s="93"/>
      <c r="D119" s="93"/>
      <c r="E119" s="48"/>
      <c r="F119" s="48"/>
      <c r="G119" s="48"/>
      <c r="H119" s="48"/>
      <c r="I119" s="93"/>
    </row>
    <row r="120" spans="2:9" ht="18" customHeight="1" x14ac:dyDescent="0.4">
      <c r="B120" s="91"/>
      <c r="C120" s="92"/>
      <c r="D120" s="92"/>
      <c r="E120" s="91"/>
      <c r="F120" s="91"/>
      <c r="G120" s="91"/>
      <c r="H120" s="91"/>
      <c r="I120" s="92"/>
    </row>
    <row r="121" spans="2:9" ht="18" customHeight="1" x14ac:dyDescent="0.4">
      <c r="B121" s="48"/>
      <c r="C121" s="93"/>
      <c r="D121" s="93"/>
      <c r="E121" s="48"/>
      <c r="F121" s="48"/>
      <c r="G121" s="48"/>
      <c r="H121" s="48"/>
      <c r="I121" s="93"/>
    </row>
    <row r="122" spans="2:9" ht="18" customHeight="1" x14ac:dyDescent="0.4">
      <c r="B122" s="91"/>
      <c r="C122" s="92"/>
      <c r="D122" s="92"/>
      <c r="E122" s="91"/>
      <c r="F122" s="91"/>
      <c r="G122" s="91"/>
      <c r="H122" s="91"/>
      <c r="I122" s="92"/>
    </row>
    <row r="123" spans="2:9" ht="18" customHeight="1" x14ac:dyDescent="0.4">
      <c r="B123" s="48"/>
      <c r="C123" s="93"/>
      <c r="D123" s="93"/>
      <c r="E123" s="48"/>
      <c r="F123" s="48"/>
      <c r="G123" s="48"/>
      <c r="H123" s="48"/>
      <c r="I123" s="93"/>
    </row>
    <row r="124" spans="2:9" ht="18" customHeight="1" x14ac:dyDescent="0.4">
      <c r="B124" s="91"/>
      <c r="C124" s="92"/>
      <c r="D124" s="92"/>
      <c r="E124" s="91"/>
      <c r="F124" s="91"/>
      <c r="G124" s="91"/>
      <c r="H124" s="91"/>
      <c r="I124" s="92"/>
    </row>
    <row r="125" spans="2:9" ht="18" customHeight="1" x14ac:dyDescent="0.4">
      <c r="B125" s="48"/>
      <c r="C125" s="93"/>
      <c r="D125" s="93"/>
      <c r="E125" s="48"/>
      <c r="F125" s="48"/>
      <c r="G125" s="48"/>
      <c r="H125" s="48"/>
      <c r="I125" s="93"/>
    </row>
    <row r="126" spans="2:9" ht="18" customHeight="1" x14ac:dyDescent="0.4">
      <c r="B126" s="91"/>
      <c r="C126" s="92"/>
      <c r="D126" s="92"/>
      <c r="E126" s="91"/>
      <c r="F126" s="91"/>
      <c r="G126" s="91"/>
      <c r="H126" s="91"/>
      <c r="I126" s="92"/>
    </row>
    <row r="127" spans="2:9" ht="18" customHeight="1" x14ac:dyDescent="0.4">
      <c r="B127" s="48"/>
      <c r="C127" s="93"/>
      <c r="D127" s="93"/>
      <c r="E127" s="48"/>
      <c r="F127" s="48"/>
      <c r="G127" s="48"/>
      <c r="H127" s="48"/>
      <c r="I127" s="93"/>
    </row>
    <row r="128" spans="2:9" ht="18" customHeight="1" x14ac:dyDescent="0.4">
      <c r="B128" s="91"/>
      <c r="C128" s="92"/>
      <c r="D128" s="92"/>
      <c r="E128" s="91"/>
      <c r="F128" s="91"/>
      <c r="G128" s="91"/>
      <c r="H128" s="91"/>
      <c r="I128" s="92"/>
    </row>
    <row r="129" spans="2:9" ht="18" customHeight="1" x14ac:dyDescent="0.4">
      <c r="B129" s="48"/>
      <c r="C129" s="93"/>
      <c r="D129" s="93"/>
      <c r="E129" s="48"/>
      <c r="F129" s="48"/>
      <c r="G129" s="48"/>
      <c r="H129" s="48"/>
      <c r="I129" s="93"/>
    </row>
    <row r="130" spans="2:9" ht="18" customHeight="1" x14ac:dyDescent="0.4">
      <c r="B130" s="91"/>
      <c r="C130" s="92"/>
      <c r="D130" s="92"/>
      <c r="E130" s="91"/>
      <c r="F130" s="91"/>
      <c r="G130" s="91"/>
      <c r="H130" s="91"/>
      <c r="I130" s="92"/>
    </row>
    <row r="131" spans="2:9" ht="18" customHeight="1" x14ac:dyDescent="0.4">
      <c r="B131" s="48"/>
      <c r="C131" s="93"/>
      <c r="D131" s="93"/>
      <c r="E131" s="48"/>
      <c r="F131" s="48"/>
      <c r="G131" s="48"/>
      <c r="H131" s="48"/>
      <c r="I131" s="93"/>
    </row>
    <row r="132" spans="2:9" ht="18" customHeight="1" x14ac:dyDescent="0.4">
      <c r="B132" s="91"/>
      <c r="C132" s="92"/>
      <c r="D132" s="92"/>
      <c r="E132" s="91"/>
      <c r="F132" s="91"/>
      <c r="G132" s="91"/>
      <c r="H132" s="91"/>
      <c r="I132" s="92"/>
    </row>
    <row r="133" spans="2:9" ht="18" customHeight="1" x14ac:dyDescent="0.4">
      <c r="B133" s="48"/>
      <c r="C133" s="93"/>
      <c r="D133" s="93"/>
      <c r="E133" s="48"/>
      <c r="F133" s="48"/>
      <c r="G133" s="48"/>
      <c r="H133" s="48"/>
      <c r="I133" s="93"/>
    </row>
    <row r="134" spans="2:9" ht="18" customHeight="1" x14ac:dyDescent="0.4">
      <c r="B134" s="91"/>
      <c r="C134" s="92"/>
      <c r="D134" s="92"/>
      <c r="E134" s="91"/>
      <c r="F134" s="91"/>
      <c r="G134" s="91"/>
      <c r="H134" s="91"/>
      <c r="I134" s="92"/>
    </row>
    <row r="135" spans="2:9" ht="18" customHeight="1" x14ac:dyDescent="0.4">
      <c r="B135" s="48"/>
      <c r="C135" s="93"/>
      <c r="D135" s="93"/>
      <c r="E135" s="48"/>
      <c r="F135" s="48"/>
      <c r="G135" s="48"/>
      <c r="H135" s="48"/>
      <c r="I135" s="93"/>
    </row>
    <row r="136" spans="2:9" ht="18" customHeight="1" x14ac:dyDescent="0.4">
      <c r="B136" s="91"/>
      <c r="C136" s="92"/>
      <c r="D136" s="92"/>
      <c r="E136" s="91"/>
      <c r="F136" s="91"/>
      <c r="G136" s="91"/>
      <c r="H136" s="91"/>
      <c r="I136" s="92"/>
    </row>
    <row r="137" spans="2:9" ht="18" customHeight="1" x14ac:dyDescent="0.4">
      <c r="B137" s="48"/>
      <c r="C137" s="93"/>
      <c r="D137" s="93"/>
      <c r="E137" s="48"/>
      <c r="F137" s="48"/>
      <c r="G137" s="48"/>
      <c r="H137" s="48"/>
      <c r="I137" s="93"/>
    </row>
    <row r="138" spans="2:9" ht="18" customHeight="1" x14ac:dyDescent="0.4">
      <c r="B138" s="91"/>
      <c r="C138" s="92"/>
      <c r="D138" s="92"/>
      <c r="E138" s="91"/>
      <c r="F138" s="91"/>
      <c r="G138" s="91"/>
      <c r="H138" s="91"/>
      <c r="I138" s="92"/>
    </row>
    <row r="139" spans="2:9" ht="18" customHeight="1" x14ac:dyDescent="0.4">
      <c r="B139" s="48"/>
      <c r="C139" s="93"/>
      <c r="D139" s="93"/>
      <c r="E139" s="48"/>
      <c r="F139" s="48"/>
      <c r="G139" s="48"/>
      <c r="H139" s="48"/>
      <c r="I139" s="93"/>
    </row>
    <row r="140" spans="2:9" ht="18" customHeight="1" x14ac:dyDescent="0.4">
      <c r="B140" s="91"/>
      <c r="C140" s="92"/>
      <c r="D140" s="92"/>
      <c r="E140" s="91"/>
      <c r="F140" s="91"/>
      <c r="G140" s="91"/>
      <c r="H140" s="91"/>
      <c r="I140" s="92"/>
    </row>
    <row r="141" spans="2:9" ht="18" customHeight="1" x14ac:dyDescent="0.4">
      <c r="B141" s="48"/>
      <c r="C141" s="93"/>
      <c r="D141" s="93"/>
      <c r="E141" s="48"/>
      <c r="F141" s="48"/>
      <c r="G141" s="48"/>
      <c r="H141" s="48"/>
      <c r="I141" s="93"/>
    </row>
    <row r="142" spans="2:9" ht="18" customHeight="1" x14ac:dyDescent="0.4">
      <c r="B142" s="91"/>
      <c r="C142" s="92"/>
      <c r="D142" s="92"/>
      <c r="E142" s="91"/>
      <c r="F142" s="91"/>
      <c r="G142" s="91"/>
      <c r="H142" s="91"/>
      <c r="I142" s="92"/>
    </row>
    <row r="143" spans="2:9" ht="18" customHeight="1" x14ac:dyDescent="0.4">
      <c r="B143" s="48"/>
      <c r="C143" s="93"/>
      <c r="D143" s="93"/>
      <c r="E143" s="48"/>
      <c r="F143" s="48"/>
      <c r="G143" s="48"/>
      <c r="H143" s="48"/>
      <c r="I143" s="93"/>
    </row>
    <row r="144" spans="2:9" ht="18" customHeight="1" x14ac:dyDescent="0.4">
      <c r="B144" s="91"/>
      <c r="C144" s="92"/>
      <c r="D144" s="92"/>
      <c r="E144" s="91"/>
      <c r="F144" s="91"/>
      <c r="G144" s="91"/>
      <c r="H144" s="91"/>
      <c r="I144" s="92"/>
    </row>
    <row r="145" spans="2:9" ht="18" customHeight="1" x14ac:dyDescent="0.4">
      <c r="B145" s="48"/>
      <c r="C145" s="93"/>
      <c r="D145" s="93"/>
      <c r="E145" s="48"/>
      <c r="F145" s="48"/>
      <c r="G145" s="48"/>
      <c r="H145" s="48"/>
      <c r="I145" s="93"/>
    </row>
    <row r="146" spans="2:9" ht="18" customHeight="1" x14ac:dyDescent="0.4">
      <c r="B146" s="91"/>
      <c r="C146" s="92"/>
      <c r="D146" s="92"/>
      <c r="E146" s="91"/>
      <c r="F146" s="91"/>
      <c r="G146" s="91"/>
      <c r="H146" s="91"/>
      <c r="I146" s="92"/>
    </row>
    <row r="147" spans="2:9" ht="18" customHeight="1" x14ac:dyDescent="0.4">
      <c r="B147" s="48"/>
      <c r="C147" s="93"/>
      <c r="D147" s="93"/>
      <c r="E147" s="48"/>
      <c r="F147" s="48"/>
      <c r="G147" s="48"/>
      <c r="H147" s="48"/>
      <c r="I147" s="93"/>
    </row>
    <row r="148" spans="2:9" ht="18" customHeight="1" x14ac:dyDescent="0.4">
      <c r="B148" s="91"/>
      <c r="C148" s="92"/>
      <c r="D148" s="92"/>
      <c r="E148" s="91"/>
      <c r="F148" s="91"/>
      <c r="G148" s="91"/>
      <c r="H148" s="91"/>
      <c r="I148" s="92"/>
    </row>
    <row r="149" spans="2:9" ht="18" customHeight="1" x14ac:dyDescent="0.4">
      <c r="B149" s="48"/>
      <c r="C149" s="93"/>
      <c r="D149" s="93"/>
      <c r="E149" s="48"/>
      <c r="F149" s="48"/>
      <c r="G149" s="48"/>
      <c r="H149" s="48"/>
      <c r="I149" s="93"/>
    </row>
    <row r="150" spans="2:9" ht="18" customHeight="1" x14ac:dyDescent="0.4">
      <c r="B150" s="91"/>
      <c r="C150" s="92"/>
      <c r="D150" s="92"/>
      <c r="E150" s="91"/>
      <c r="F150" s="91"/>
      <c r="G150" s="91"/>
      <c r="H150" s="91"/>
      <c r="I150" s="92"/>
    </row>
    <row r="151" spans="2:9" ht="18" customHeight="1" x14ac:dyDescent="0.4">
      <c r="B151" s="48"/>
      <c r="C151" s="93"/>
      <c r="D151" s="93"/>
      <c r="E151" s="48"/>
      <c r="F151" s="48"/>
      <c r="G151" s="48"/>
      <c r="H151" s="48"/>
      <c r="I151" s="93"/>
    </row>
    <row r="152" spans="2:9" ht="18" customHeight="1" x14ac:dyDescent="0.4">
      <c r="B152" s="91"/>
      <c r="C152" s="92"/>
      <c r="D152" s="92"/>
      <c r="E152" s="91"/>
      <c r="F152" s="91"/>
      <c r="G152" s="91"/>
      <c r="H152" s="91"/>
      <c r="I152" s="92"/>
    </row>
    <row r="153" spans="2:9" ht="18" customHeight="1" x14ac:dyDescent="0.4">
      <c r="B153" s="48"/>
      <c r="C153" s="93"/>
      <c r="D153" s="93"/>
      <c r="E153" s="48"/>
      <c r="F153" s="48"/>
      <c r="G153" s="48"/>
      <c r="H153" s="48"/>
      <c r="I153" s="93"/>
    </row>
    <row r="154" spans="2:9" ht="18" customHeight="1" x14ac:dyDescent="0.4">
      <c r="B154" s="91"/>
      <c r="C154" s="92"/>
      <c r="D154" s="92"/>
      <c r="E154" s="91"/>
      <c r="F154" s="91"/>
      <c r="G154" s="91"/>
      <c r="H154" s="91"/>
      <c r="I154" s="92"/>
    </row>
    <row r="155" spans="2:9" ht="18" customHeight="1" x14ac:dyDescent="0.4">
      <c r="B155" s="48"/>
      <c r="C155" s="93"/>
      <c r="D155" s="93"/>
      <c r="E155" s="48"/>
      <c r="F155" s="48"/>
      <c r="G155" s="48"/>
      <c r="H155" s="48"/>
      <c r="I155" s="93"/>
    </row>
    <row r="156" spans="2:9" ht="18" customHeight="1" x14ac:dyDescent="0.4">
      <c r="B156" s="91"/>
      <c r="C156" s="92"/>
      <c r="D156" s="92"/>
      <c r="E156" s="91"/>
      <c r="F156" s="91"/>
      <c r="G156" s="91"/>
      <c r="H156" s="91"/>
      <c r="I156" s="92"/>
    </row>
    <row r="157" spans="2:9" ht="18" customHeight="1" x14ac:dyDescent="0.4">
      <c r="B157" s="48"/>
      <c r="C157" s="93"/>
      <c r="D157" s="93"/>
      <c r="E157" s="48"/>
      <c r="F157" s="48"/>
      <c r="G157" s="48"/>
      <c r="H157" s="48"/>
      <c r="I157" s="93"/>
    </row>
    <row r="158" spans="2:9" ht="18" customHeight="1" x14ac:dyDescent="0.4">
      <c r="B158" s="91"/>
      <c r="C158" s="92"/>
      <c r="D158" s="92"/>
      <c r="E158" s="91"/>
      <c r="F158" s="91"/>
      <c r="G158" s="91"/>
      <c r="H158" s="91"/>
      <c r="I158" s="92"/>
    </row>
    <row r="159" spans="2:9" ht="18" customHeight="1" x14ac:dyDescent="0.4">
      <c r="B159" s="48"/>
      <c r="C159" s="93"/>
      <c r="D159" s="93"/>
      <c r="E159" s="48"/>
      <c r="F159" s="48"/>
      <c r="G159" s="48"/>
      <c r="H159" s="48"/>
      <c r="I159" s="93"/>
    </row>
    <row r="160" spans="2:9" ht="18" customHeight="1" x14ac:dyDescent="0.4">
      <c r="B160" s="91"/>
      <c r="C160" s="92"/>
      <c r="D160" s="92"/>
      <c r="E160" s="91"/>
      <c r="F160" s="91"/>
      <c r="G160" s="91"/>
      <c r="H160" s="91"/>
      <c r="I160" s="92"/>
    </row>
    <row r="161" spans="2:9" ht="18" customHeight="1" x14ac:dyDescent="0.4">
      <c r="B161" s="48"/>
      <c r="C161" s="93"/>
      <c r="D161" s="93"/>
      <c r="E161" s="48"/>
      <c r="F161" s="48"/>
      <c r="G161" s="48"/>
      <c r="H161" s="48"/>
      <c r="I161" s="93"/>
    </row>
    <row r="162" spans="2:9" ht="18" customHeight="1" x14ac:dyDescent="0.4">
      <c r="B162" s="91"/>
      <c r="C162" s="92"/>
      <c r="D162" s="92"/>
      <c r="E162" s="91"/>
      <c r="F162" s="91"/>
      <c r="G162" s="91"/>
      <c r="H162" s="91"/>
      <c r="I162" s="92"/>
    </row>
    <row r="163" spans="2:9" ht="18" customHeight="1" x14ac:dyDescent="0.4">
      <c r="B163" s="48"/>
      <c r="C163" s="93"/>
      <c r="D163" s="93"/>
      <c r="E163" s="48"/>
      <c r="F163" s="48"/>
      <c r="G163" s="48"/>
      <c r="H163" s="48"/>
      <c r="I163" s="93"/>
    </row>
    <row r="164" spans="2:9" ht="18" customHeight="1" x14ac:dyDescent="0.4">
      <c r="B164" s="91"/>
      <c r="C164" s="92"/>
      <c r="D164" s="92"/>
      <c r="E164" s="91"/>
      <c r="F164" s="91"/>
      <c r="G164" s="91"/>
      <c r="H164" s="91"/>
      <c r="I164" s="92"/>
    </row>
    <row r="165" spans="2:9" ht="18" customHeight="1" x14ac:dyDescent="0.4">
      <c r="B165" s="48"/>
      <c r="C165" s="93"/>
      <c r="D165" s="93"/>
      <c r="E165" s="48"/>
      <c r="F165" s="48"/>
      <c r="G165" s="48"/>
      <c r="H165" s="48"/>
      <c r="I165" s="93"/>
    </row>
    <row r="166" spans="2:9" ht="18" customHeight="1" x14ac:dyDescent="0.4">
      <c r="B166" s="91"/>
      <c r="C166" s="92"/>
      <c r="D166" s="92"/>
      <c r="E166" s="91"/>
      <c r="F166" s="91"/>
      <c r="G166" s="91"/>
      <c r="H166" s="91"/>
      <c r="I166" s="92"/>
    </row>
    <row r="167" spans="2:9" ht="18" customHeight="1" x14ac:dyDescent="0.4">
      <c r="B167" s="48"/>
      <c r="C167" s="93"/>
      <c r="D167" s="93"/>
      <c r="E167" s="48"/>
      <c r="F167" s="48"/>
      <c r="G167" s="48"/>
      <c r="H167" s="48"/>
      <c r="I167" s="93"/>
    </row>
    <row r="168" spans="2:9" ht="18" customHeight="1" x14ac:dyDescent="0.4">
      <c r="B168" s="91"/>
      <c r="C168" s="92"/>
      <c r="D168" s="92"/>
      <c r="E168" s="91"/>
      <c r="F168" s="91"/>
      <c r="G168" s="91"/>
      <c r="H168" s="91"/>
      <c r="I168" s="92"/>
    </row>
    <row r="169" spans="2:9" ht="18" customHeight="1" x14ac:dyDescent="0.4">
      <c r="B169" s="48"/>
      <c r="C169" s="93"/>
      <c r="D169" s="93"/>
      <c r="E169" s="48"/>
      <c r="F169" s="48"/>
      <c r="G169" s="48"/>
      <c r="H169" s="48"/>
      <c r="I169" s="93"/>
    </row>
    <row r="170" spans="2:9" ht="18" customHeight="1" x14ac:dyDescent="0.4">
      <c r="B170" s="91"/>
      <c r="C170" s="92"/>
      <c r="D170" s="92"/>
      <c r="E170" s="91"/>
      <c r="F170" s="91"/>
      <c r="G170" s="91"/>
      <c r="H170" s="91"/>
      <c r="I170" s="92"/>
    </row>
    <row r="171" spans="2:9" ht="18" customHeight="1" x14ac:dyDescent="0.4">
      <c r="B171" s="48"/>
      <c r="C171" s="93"/>
      <c r="D171" s="93"/>
      <c r="E171" s="48"/>
      <c r="F171" s="48"/>
      <c r="G171" s="48"/>
      <c r="H171" s="48"/>
      <c r="I171" s="93"/>
    </row>
    <row r="172" spans="2:9" ht="18" customHeight="1" x14ac:dyDescent="0.4">
      <c r="B172" s="91"/>
      <c r="C172" s="92"/>
      <c r="D172" s="92"/>
      <c r="E172" s="91"/>
      <c r="F172" s="91"/>
      <c r="G172" s="91"/>
      <c r="H172" s="91"/>
      <c r="I172" s="92"/>
    </row>
    <row r="173" spans="2:9" ht="18" customHeight="1" x14ac:dyDescent="0.4">
      <c r="B173" s="48"/>
      <c r="C173" s="93"/>
      <c r="D173" s="93"/>
      <c r="E173" s="48"/>
      <c r="F173" s="48"/>
      <c r="G173" s="48"/>
      <c r="H173" s="48"/>
      <c r="I173" s="93"/>
    </row>
    <row r="174" spans="2:9" ht="18" customHeight="1" x14ac:dyDescent="0.4">
      <c r="B174" s="91"/>
      <c r="C174" s="92"/>
      <c r="D174" s="92"/>
      <c r="E174" s="91"/>
      <c r="F174" s="91"/>
      <c r="G174" s="91"/>
      <c r="H174" s="91"/>
      <c r="I174" s="92"/>
    </row>
    <row r="175" spans="2:9" ht="18" customHeight="1" x14ac:dyDescent="0.4">
      <c r="B175" s="48"/>
      <c r="C175" s="93"/>
      <c r="D175" s="93"/>
      <c r="E175" s="48"/>
      <c r="F175" s="48"/>
      <c r="G175" s="48"/>
      <c r="H175" s="48"/>
      <c r="I175" s="93"/>
    </row>
    <row r="176" spans="2:9" ht="18" customHeight="1" x14ac:dyDescent="0.4">
      <c r="B176" s="91"/>
      <c r="C176" s="92"/>
      <c r="D176" s="92"/>
      <c r="E176" s="91"/>
      <c r="F176" s="91"/>
      <c r="G176" s="91"/>
      <c r="H176" s="91"/>
      <c r="I176" s="92"/>
    </row>
    <row r="177" spans="2:9" ht="18" customHeight="1" x14ac:dyDescent="0.4">
      <c r="B177" s="48"/>
      <c r="C177" s="93"/>
      <c r="D177" s="93"/>
      <c r="E177" s="48"/>
      <c r="F177" s="48"/>
      <c r="G177" s="48"/>
      <c r="H177" s="48"/>
      <c r="I177" s="93"/>
    </row>
    <row r="178" spans="2:9" ht="18" customHeight="1" x14ac:dyDescent="0.4">
      <c r="B178" s="91"/>
      <c r="C178" s="92"/>
      <c r="D178" s="92"/>
      <c r="E178" s="91"/>
      <c r="F178" s="91"/>
      <c r="G178" s="91"/>
      <c r="H178" s="91"/>
      <c r="I178" s="92"/>
    </row>
    <row r="179" spans="2:9" ht="18" customHeight="1" x14ac:dyDescent="0.4">
      <c r="B179" s="48"/>
      <c r="C179" s="93"/>
      <c r="D179" s="93"/>
      <c r="E179" s="48"/>
      <c r="F179" s="48"/>
      <c r="G179" s="48"/>
      <c r="H179" s="48"/>
      <c r="I179" s="93"/>
    </row>
    <row r="180" spans="2:9" ht="18" customHeight="1" x14ac:dyDescent="0.4">
      <c r="B180" s="91"/>
      <c r="C180" s="92"/>
      <c r="D180" s="92"/>
      <c r="E180" s="91"/>
      <c r="F180" s="91"/>
      <c r="G180" s="91"/>
      <c r="H180" s="91"/>
      <c r="I180" s="92"/>
    </row>
    <row r="181" spans="2:9" ht="18" customHeight="1" x14ac:dyDescent="0.4">
      <c r="B181" s="48"/>
      <c r="C181" s="93"/>
      <c r="D181" s="93"/>
      <c r="E181" s="48"/>
      <c r="F181" s="48"/>
      <c r="G181" s="48"/>
      <c r="H181" s="48"/>
      <c r="I181" s="93"/>
    </row>
    <row r="182" spans="2:9" ht="18" customHeight="1" x14ac:dyDescent="0.4">
      <c r="B182" s="91"/>
      <c r="C182" s="92"/>
      <c r="D182" s="92"/>
      <c r="E182" s="91"/>
      <c r="F182" s="91"/>
      <c r="G182" s="91"/>
      <c r="H182" s="91"/>
      <c r="I182" s="92"/>
    </row>
    <row r="183" spans="2:9" ht="18" customHeight="1" x14ac:dyDescent="0.4">
      <c r="B183" s="48"/>
      <c r="C183" s="93"/>
      <c r="D183" s="93"/>
      <c r="E183" s="48"/>
      <c r="F183" s="48"/>
      <c r="G183" s="48"/>
      <c r="H183" s="48"/>
      <c r="I183" s="93"/>
    </row>
    <row r="184" spans="2:9" ht="18" customHeight="1" x14ac:dyDescent="0.4">
      <c r="B184" s="91"/>
      <c r="C184" s="92"/>
      <c r="D184" s="92"/>
      <c r="E184" s="91"/>
      <c r="F184" s="91"/>
      <c r="G184" s="91"/>
      <c r="H184" s="91"/>
      <c r="I184" s="92"/>
    </row>
    <row r="185" spans="2:9" ht="18" customHeight="1" x14ac:dyDescent="0.4">
      <c r="B185" s="48"/>
      <c r="C185" s="93"/>
      <c r="D185" s="93"/>
      <c r="E185" s="48"/>
      <c r="F185" s="48"/>
      <c r="G185" s="48"/>
      <c r="H185" s="48"/>
      <c r="I185" s="93"/>
    </row>
    <row r="186" spans="2:9" ht="18" customHeight="1" x14ac:dyDescent="0.4">
      <c r="B186" s="91"/>
      <c r="C186" s="92"/>
      <c r="D186" s="92"/>
      <c r="E186" s="91"/>
      <c r="F186" s="91"/>
      <c r="G186" s="91"/>
      <c r="H186" s="91"/>
      <c r="I186" s="92"/>
    </row>
    <row r="187" spans="2:9" ht="18" customHeight="1" x14ac:dyDescent="0.4">
      <c r="B187" s="48"/>
      <c r="C187" s="93"/>
      <c r="D187" s="93"/>
      <c r="E187" s="48"/>
      <c r="F187" s="48"/>
      <c r="G187" s="48"/>
      <c r="H187" s="48"/>
      <c r="I187" s="93"/>
    </row>
    <row r="188" spans="2:9" ht="18" customHeight="1" x14ac:dyDescent="0.4">
      <c r="B188" s="91"/>
      <c r="C188" s="92"/>
      <c r="D188" s="92"/>
      <c r="E188" s="91"/>
      <c r="F188" s="91"/>
      <c r="G188" s="91"/>
      <c r="H188" s="91"/>
      <c r="I188" s="92"/>
    </row>
    <row r="189" spans="2:9" ht="18" customHeight="1" x14ac:dyDescent="0.4">
      <c r="B189" s="48"/>
      <c r="C189" s="93"/>
      <c r="D189" s="93"/>
      <c r="E189" s="48"/>
      <c r="F189" s="48"/>
      <c r="G189" s="48"/>
      <c r="H189" s="48"/>
      <c r="I189" s="93"/>
    </row>
    <row r="190" spans="2:9" ht="18" customHeight="1" x14ac:dyDescent="0.4">
      <c r="B190" s="91"/>
      <c r="C190" s="92"/>
      <c r="D190" s="92"/>
      <c r="E190" s="91"/>
      <c r="F190" s="91"/>
      <c r="G190" s="91"/>
      <c r="H190" s="91"/>
      <c r="I190" s="92"/>
    </row>
    <row r="191" spans="2:9" ht="18" customHeight="1" x14ac:dyDescent="0.4">
      <c r="B191" s="48"/>
      <c r="C191" s="93"/>
      <c r="D191" s="93"/>
      <c r="E191" s="48"/>
      <c r="F191" s="48"/>
      <c r="G191" s="48"/>
      <c r="H191" s="48"/>
      <c r="I191" s="93"/>
    </row>
    <row r="192" spans="2:9" ht="18" customHeight="1" x14ac:dyDescent="0.4">
      <c r="B192" s="91"/>
      <c r="C192" s="92"/>
      <c r="D192" s="92"/>
      <c r="E192" s="91"/>
      <c r="F192" s="91"/>
      <c r="G192" s="91"/>
      <c r="H192" s="91"/>
      <c r="I192" s="92"/>
    </row>
    <row r="193" spans="2:9" ht="18" customHeight="1" x14ac:dyDescent="0.4">
      <c r="B193" s="48"/>
      <c r="C193" s="93"/>
      <c r="D193" s="93"/>
      <c r="E193" s="48"/>
      <c r="F193" s="48"/>
      <c r="G193" s="48"/>
      <c r="H193" s="48"/>
      <c r="I193" s="93"/>
    </row>
    <row r="194" spans="2:9" ht="18" customHeight="1" x14ac:dyDescent="0.4">
      <c r="B194" s="91"/>
      <c r="C194" s="92"/>
      <c r="D194" s="92"/>
      <c r="E194" s="91"/>
      <c r="F194" s="91"/>
      <c r="G194" s="91"/>
      <c r="H194" s="91"/>
      <c r="I194" s="92"/>
    </row>
    <row r="195" spans="2:9" ht="18" customHeight="1" x14ac:dyDescent="0.4">
      <c r="B195" s="48"/>
      <c r="C195" s="93"/>
      <c r="D195" s="93"/>
      <c r="E195" s="48"/>
      <c r="F195" s="48"/>
      <c r="G195" s="48"/>
      <c r="H195" s="48"/>
      <c r="I195" s="93"/>
    </row>
    <row r="196" spans="2:9" ht="18" customHeight="1" x14ac:dyDescent="0.4">
      <c r="B196" s="91"/>
      <c r="C196" s="92"/>
      <c r="D196" s="92"/>
      <c r="E196" s="91"/>
      <c r="F196" s="91"/>
      <c r="G196" s="91"/>
      <c r="H196" s="91"/>
      <c r="I196" s="92"/>
    </row>
    <row r="197" spans="2:9" ht="18" customHeight="1" x14ac:dyDescent="0.4">
      <c r="B197" s="48"/>
      <c r="C197" s="93"/>
      <c r="D197" s="93"/>
      <c r="E197" s="48"/>
      <c r="F197" s="48"/>
      <c r="G197" s="48"/>
      <c r="H197" s="48"/>
      <c r="I197" s="93"/>
    </row>
    <row r="198" spans="2:9" ht="18" customHeight="1" x14ac:dyDescent="0.4">
      <c r="B198" s="91"/>
      <c r="C198" s="92"/>
      <c r="D198" s="92"/>
      <c r="E198" s="91"/>
      <c r="F198" s="91"/>
      <c r="G198" s="91"/>
      <c r="H198" s="91"/>
      <c r="I198" s="92"/>
    </row>
    <row r="199" spans="2:9" ht="18" customHeight="1" x14ac:dyDescent="0.4">
      <c r="B199" s="48"/>
      <c r="C199" s="93"/>
      <c r="D199" s="93"/>
      <c r="E199" s="48"/>
      <c r="F199" s="48"/>
      <c r="G199" s="48"/>
      <c r="H199" s="48"/>
      <c r="I199" s="93"/>
    </row>
    <row r="200" spans="2:9" ht="18" customHeight="1" x14ac:dyDescent="0.4">
      <c r="B200" s="91"/>
      <c r="C200" s="92"/>
      <c r="D200" s="92"/>
      <c r="E200" s="91"/>
      <c r="F200" s="91"/>
      <c r="G200" s="91"/>
      <c r="H200" s="91"/>
      <c r="I200" s="92"/>
    </row>
    <row r="201" spans="2:9" ht="18" customHeight="1" x14ac:dyDescent="0.4">
      <c r="B201" s="48"/>
      <c r="C201" s="93"/>
      <c r="D201" s="93"/>
      <c r="E201" s="48"/>
      <c r="F201" s="48"/>
      <c r="G201" s="48"/>
      <c r="H201" s="48"/>
      <c r="I201" s="93"/>
    </row>
    <row r="202" spans="2:9" ht="18" customHeight="1" x14ac:dyDescent="0.4">
      <c r="B202" s="91"/>
      <c r="C202" s="92"/>
      <c r="D202" s="92"/>
      <c r="E202" s="91"/>
      <c r="F202" s="91"/>
      <c r="G202" s="91"/>
      <c r="H202" s="91"/>
      <c r="I202" s="92"/>
    </row>
    <row r="203" spans="2:9" ht="18" customHeight="1" x14ac:dyDescent="0.4">
      <c r="B203" s="48"/>
      <c r="C203" s="93"/>
      <c r="D203" s="93"/>
      <c r="E203" s="48"/>
      <c r="F203" s="48"/>
      <c r="G203" s="48"/>
      <c r="H203" s="48"/>
      <c r="I203" s="93"/>
    </row>
    <row r="204" spans="2:9" ht="18" customHeight="1" x14ac:dyDescent="0.4">
      <c r="B204" s="91"/>
      <c r="C204" s="92"/>
      <c r="D204" s="92"/>
      <c r="E204" s="91"/>
      <c r="F204" s="91"/>
      <c r="G204" s="91"/>
      <c r="H204" s="91"/>
      <c r="I204" s="92"/>
    </row>
    <row r="205" spans="2:9" ht="18" customHeight="1" x14ac:dyDescent="0.4">
      <c r="B205" s="48"/>
      <c r="C205" s="93"/>
      <c r="D205" s="93"/>
      <c r="E205" s="48"/>
      <c r="F205" s="48"/>
      <c r="G205" s="48"/>
      <c r="H205" s="48"/>
      <c r="I205" s="93"/>
    </row>
    <row r="206" spans="2:9" ht="18" customHeight="1" x14ac:dyDescent="0.4">
      <c r="B206" s="91"/>
      <c r="C206" s="92"/>
      <c r="D206" s="92"/>
      <c r="E206" s="91"/>
      <c r="F206" s="91"/>
      <c r="G206" s="91"/>
      <c r="H206" s="91"/>
      <c r="I206" s="92"/>
    </row>
    <row r="207" spans="2:9" ht="18" customHeight="1" x14ac:dyDescent="0.4">
      <c r="B207" s="48"/>
      <c r="C207" s="93"/>
      <c r="D207" s="93"/>
      <c r="E207" s="48"/>
      <c r="F207" s="48"/>
      <c r="G207" s="48"/>
      <c r="H207" s="48"/>
      <c r="I207" s="93"/>
    </row>
    <row r="208" spans="2:9" ht="18" customHeight="1" x14ac:dyDescent="0.4">
      <c r="B208" s="91"/>
      <c r="C208" s="92"/>
      <c r="D208" s="92"/>
      <c r="E208" s="91"/>
      <c r="F208" s="91"/>
      <c r="G208" s="91"/>
      <c r="H208" s="91"/>
      <c r="I208" s="92"/>
    </row>
    <row r="209" spans="2:9" ht="18" customHeight="1" x14ac:dyDescent="0.4">
      <c r="B209" s="48"/>
      <c r="C209" s="93"/>
      <c r="D209" s="93"/>
      <c r="E209" s="48"/>
      <c r="F209" s="48"/>
      <c r="G209" s="48"/>
      <c r="H209" s="48"/>
      <c r="I209" s="93"/>
    </row>
    <row r="210" spans="2:9" ht="18" customHeight="1" x14ac:dyDescent="0.4">
      <c r="B210" s="91"/>
      <c r="C210" s="92"/>
      <c r="D210" s="92"/>
      <c r="E210" s="91"/>
      <c r="F210" s="91"/>
      <c r="G210" s="91"/>
      <c r="H210" s="91"/>
      <c r="I210" s="92"/>
    </row>
    <row r="211" spans="2:9" ht="18" customHeight="1" x14ac:dyDescent="0.4">
      <c r="B211" s="48"/>
      <c r="C211" s="93"/>
      <c r="D211" s="93"/>
      <c r="E211" s="48"/>
      <c r="F211" s="48"/>
      <c r="G211" s="48"/>
      <c r="H211" s="48"/>
      <c r="I211" s="93"/>
    </row>
    <row r="212" spans="2:9" ht="18" customHeight="1" x14ac:dyDescent="0.4">
      <c r="B212" s="91"/>
      <c r="C212" s="92"/>
      <c r="D212" s="92"/>
      <c r="E212" s="91"/>
      <c r="F212" s="91"/>
      <c r="G212" s="91"/>
      <c r="H212" s="91"/>
      <c r="I212" s="92"/>
    </row>
    <row r="213" spans="2:9" ht="18" customHeight="1" x14ac:dyDescent="0.4">
      <c r="B213" s="48"/>
      <c r="C213" s="93"/>
      <c r="D213" s="93"/>
      <c r="E213" s="48"/>
      <c r="F213" s="48"/>
      <c r="G213" s="48"/>
      <c r="H213" s="48"/>
      <c r="I213" s="93"/>
    </row>
    <row r="214" spans="2:9" ht="18" customHeight="1" x14ac:dyDescent="0.4">
      <c r="B214" s="91"/>
      <c r="C214" s="92"/>
      <c r="D214" s="92"/>
      <c r="E214" s="91"/>
      <c r="F214" s="91"/>
      <c r="G214" s="91"/>
      <c r="H214" s="91"/>
      <c r="I214" s="92"/>
    </row>
    <row r="215" spans="2:9" ht="18" customHeight="1" x14ac:dyDescent="0.4">
      <c r="B215" s="48"/>
      <c r="C215" s="93"/>
      <c r="D215" s="93"/>
      <c r="E215" s="48"/>
      <c r="F215" s="48"/>
      <c r="G215" s="48"/>
      <c r="H215" s="48"/>
      <c r="I215" s="93"/>
    </row>
    <row r="216" spans="2:9" ht="18" customHeight="1" x14ac:dyDescent="0.4">
      <c r="B216" s="91"/>
      <c r="C216" s="92"/>
      <c r="D216" s="92"/>
      <c r="E216" s="91"/>
      <c r="F216" s="91"/>
      <c r="G216" s="91"/>
      <c r="H216" s="91"/>
      <c r="I216" s="92"/>
    </row>
    <row r="217" spans="2:9" ht="18" customHeight="1" x14ac:dyDescent="0.4">
      <c r="B217" s="48"/>
      <c r="C217" s="93"/>
      <c r="D217" s="93"/>
      <c r="E217" s="48"/>
      <c r="F217" s="48"/>
      <c r="G217" s="48"/>
      <c r="H217" s="48"/>
      <c r="I217" s="93"/>
    </row>
    <row r="218" spans="2:9" ht="18" customHeight="1" x14ac:dyDescent="0.4">
      <c r="B218" s="91"/>
      <c r="C218" s="92"/>
      <c r="D218" s="92"/>
      <c r="E218" s="91"/>
      <c r="F218" s="91"/>
      <c r="G218" s="91"/>
      <c r="H218" s="91"/>
      <c r="I218" s="92"/>
    </row>
    <row r="219" spans="2:9" ht="18" customHeight="1" x14ac:dyDescent="0.4">
      <c r="B219" s="48"/>
      <c r="C219" s="93"/>
      <c r="D219" s="93"/>
      <c r="E219" s="48"/>
      <c r="F219" s="48"/>
      <c r="G219" s="48"/>
      <c r="H219" s="48"/>
      <c r="I219" s="93"/>
    </row>
    <row r="220" spans="2:9" ht="18" customHeight="1" x14ac:dyDescent="0.4">
      <c r="B220" s="91"/>
      <c r="C220" s="92"/>
      <c r="D220" s="92"/>
      <c r="E220" s="91"/>
      <c r="F220" s="91"/>
      <c r="G220" s="91"/>
      <c r="H220" s="91"/>
      <c r="I220" s="92"/>
    </row>
    <row r="221" spans="2:9" ht="18" customHeight="1" x14ac:dyDescent="0.4">
      <c r="B221" s="48"/>
      <c r="C221" s="93"/>
      <c r="D221" s="93"/>
      <c r="E221" s="48"/>
      <c r="F221" s="48"/>
      <c r="G221" s="48"/>
      <c r="H221" s="48"/>
      <c r="I221" s="93"/>
    </row>
    <row r="222" spans="2:9" ht="18" customHeight="1" x14ac:dyDescent="0.4">
      <c r="B222" s="91"/>
      <c r="C222" s="92"/>
      <c r="D222" s="92"/>
      <c r="E222" s="91"/>
      <c r="F222" s="91"/>
      <c r="G222" s="91"/>
      <c r="H222" s="91"/>
      <c r="I222" s="92"/>
    </row>
    <row r="223" spans="2:9" ht="18" customHeight="1" x14ac:dyDescent="0.4">
      <c r="B223" s="48"/>
      <c r="C223" s="93"/>
      <c r="D223" s="93"/>
      <c r="E223" s="48"/>
      <c r="F223" s="48"/>
      <c r="G223" s="48"/>
      <c r="H223" s="48"/>
      <c r="I223" s="93"/>
    </row>
    <row r="224" spans="2:9" ht="18" customHeight="1" x14ac:dyDescent="0.4">
      <c r="B224" s="91"/>
      <c r="C224" s="92"/>
      <c r="D224" s="92"/>
      <c r="E224" s="91"/>
      <c r="F224" s="91"/>
      <c r="G224" s="91"/>
      <c r="H224" s="91"/>
      <c r="I224" s="92"/>
    </row>
    <row r="225" spans="2:9" ht="18" customHeight="1" x14ac:dyDescent="0.4">
      <c r="B225" s="48"/>
      <c r="C225" s="93"/>
      <c r="D225" s="93"/>
      <c r="E225" s="48"/>
      <c r="F225" s="48"/>
      <c r="G225" s="48"/>
      <c r="H225" s="48"/>
      <c r="I225" s="93"/>
    </row>
    <row r="226" spans="2:9" ht="18" customHeight="1" x14ac:dyDescent="0.4">
      <c r="B226" s="91"/>
      <c r="C226" s="92"/>
      <c r="D226" s="92"/>
      <c r="E226" s="91"/>
      <c r="F226" s="91"/>
      <c r="G226" s="91"/>
      <c r="H226" s="91"/>
      <c r="I226" s="92"/>
    </row>
    <row r="227" spans="2:9" ht="18" customHeight="1" x14ac:dyDescent="0.4">
      <c r="B227" s="48"/>
      <c r="C227" s="93"/>
      <c r="D227" s="93"/>
      <c r="E227" s="48"/>
      <c r="F227" s="48"/>
      <c r="G227" s="48"/>
      <c r="H227" s="48"/>
      <c r="I227" s="93"/>
    </row>
    <row r="228" spans="2:9" ht="18" customHeight="1" x14ac:dyDescent="0.4">
      <c r="B228" s="91"/>
      <c r="C228" s="92"/>
      <c r="D228" s="92"/>
      <c r="E228" s="91"/>
      <c r="F228" s="91"/>
      <c r="G228" s="91"/>
      <c r="H228" s="91"/>
      <c r="I228" s="92"/>
    </row>
    <row r="229" spans="2:9" ht="18" customHeight="1" x14ac:dyDescent="0.4">
      <c r="B229" s="48"/>
      <c r="C229" s="93"/>
      <c r="D229" s="93"/>
      <c r="E229" s="48"/>
      <c r="F229" s="48"/>
      <c r="G229" s="48"/>
      <c r="H229" s="48"/>
      <c r="I229" s="93"/>
    </row>
    <row r="230" spans="2:9" ht="18" customHeight="1" x14ac:dyDescent="0.4">
      <c r="B230" s="91"/>
      <c r="C230" s="92"/>
      <c r="D230" s="92"/>
      <c r="E230" s="91"/>
      <c r="F230" s="91"/>
      <c r="G230" s="91"/>
      <c r="H230" s="91"/>
      <c r="I230" s="92"/>
    </row>
    <row r="231" spans="2:9" ht="18" customHeight="1" x14ac:dyDescent="0.4">
      <c r="B231" s="48"/>
      <c r="C231" s="93"/>
      <c r="D231" s="93"/>
      <c r="E231" s="48"/>
      <c r="F231" s="48"/>
      <c r="G231" s="48"/>
      <c r="H231" s="48"/>
      <c r="I231" s="93"/>
    </row>
    <row r="232" spans="2:9" ht="18" customHeight="1" x14ac:dyDescent="0.4">
      <c r="B232" s="91"/>
      <c r="C232" s="92"/>
      <c r="D232" s="92"/>
      <c r="E232" s="91"/>
      <c r="F232" s="91"/>
      <c r="G232" s="91"/>
      <c r="H232" s="91"/>
      <c r="I232" s="92"/>
    </row>
    <row r="233" spans="2:9" ht="18" customHeight="1" x14ac:dyDescent="0.4">
      <c r="B233" s="48"/>
      <c r="C233" s="93"/>
      <c r="D233" s="93"/>
      <c r="E233" s="48"/>
      <c r="F233" s="48"/>
      <c r="G233" s="48"/>
      <c r="H233" s="48"/>
      <c r="I233" s="93"/>
    </row>
    <row r="234" spans="2:9" ht="18" customHeight="1" x14ac:dyDescent="0.4">
      <c r="B234" s="91"/>
      <c r="C234" s="92"/>
      <c r="D234" s="92"/>
      <c r="E234" s="91"/>
      <c r="F234" s="91"/>
      <c r="G234" s="91"/>
      <c r="H234" s="91"/>
      <c r="I234" s="92"/>
    </row>
    <row r="235" spans="2:9" ht="18" customHeight="1" x14ac:dyDescent="0.4">
      <c r="B235" s="48"/>
      <c r="C235" s="93"/>
      <c r="D235" s="93"/>
      <c r="E235" s="48"/>
      <c r="F235" s="48"/>
      <c r="G235" s="48"/>
      <c r="H235" s="48"/>
      <c r="I235" s="93"/>
    </row>
    <row r="236" spans="2:9" ht="18" customHeight="1" x14ac:dyDescent="0.4">
      <c r="B236" s="91"/>
      <c r="C236" s="92"/>
      <c r="D236" s="92"/>
      <c r="E236" s="91"/>
      <c r="F236" s="91"/>
      <c r="G236" s="91"/>
      <c r="H236" s="91"/>
      <c r="I236" s="92"/>
    </row>
    <row r="237" spans="2:9" ht="18" customHeight="1" x14ac:dyDescent="0.4">
      <c r="B237" s="48"/>
      <c r="C237" s="93"/>
      <c r="D237" s="93"/>
      <c r="E237" s="48"/>
      <c r="F237" s="48"/>
      <c r="G237" s="48"/>
      <c r="H237" s="48"/>
      <c r="I237" s="93"/>
    </row>
    <row r="238" spans="2:9" ht="18" customHeight="1" x14ac:dyDescent="0.4">
      <c r="B238" s="91"/>
      <c r="C238" s="92"/>
      <c r="D238" s="92"/>
      <c r="E238" s="91"/>
      <c r="F238" s="91"/>
      <c r="G238" s="91"/>
      <c r="H238" s="91"/>
      <c r="I238" s="92"/>
    </row>
    <row r="239" spans="2:9" ht="18" customHeight="1" x14ac:dyDescent="0.4">
      <c r="B239" s="48"/>
      <c r="C239" s="93"/>
      <c r="D239" s="93"/>
      <c r="E239" s="48"/>
      <c r="F239" s="48"/>
      <c r="G239" s="48"/>
      <c r="H239" s="48"/>
      <c r="I239" s="93"/>
    </row>
    <row r="240" spans="2:9" ht="18" customHeight="1" x14ac:dyDescent="0.4">
      <c r="B240" s="91"/>
      <c r="C240" s="92"/>
      <c r="D240" s="92"/>
      <c r="E240" s="91"/>
      <c r="F240" s="91"/>
      <c r="G240" s="91"/>
      <c r="H240" s="91"/>
      <c r="I240" s="92"/>
    </row>
    <row r="241" spans="2:9" ht="18" customHeight="1" x14ac:dyDescent="0.4">
      <c r="B241" s="48"/>
      <c r="C241" s="93"/>
      <c r="D241" s="93"/>
      <c r="E241" s="48"/>
      <c r="F241" s="48"/>
      <c r="G241" s="48"/>
      <c r="H241" s="48"/>
      <c r="I241" s="93"/>
    </row>
    <row r="242" spans="2:9" ht="18" customHeight="1" x14ac:dyDescent="0.4">
      <c r="B242" s="91"/>
      <c r="C242" s="92"/>
      <c r="D242" s="92"/>
      <c r="E242" s="91"/>
      <c r="F242" s="91"/>
      <c r="G242" s="91"/>
      <c r="H242" s="91"/>
      <c r="I242" s="92"/>
    </row>
    <row r="243" spans="2:9" ht="18" customHeight="1" x14ac:dyDescent="0.4">
      <c r="B243" s="48"/>
      <c r="C243" s="93"/>
      <c r="D243" s="93"/>
      <c r="E243" s="48"/>
      <c r="F243" s="48"/>
      <c r="G243" s="48"/>
      <c r="H243" s="48"/>
      <c r="I243" s="93"/>
    </row>
    <row r="244" spans="2:9" ht="18" customHeight="1" x14ac:dyDescent="0.4">
      <c r="B244" s="91"/>
      <c r="C244" s="92"/>
      <c r="D244" s="92"/>
      <c r="E244" s="91"/>
      <c r="F244" s="91"/>
      <c r="G244" s="91"/>
      <c r="H244" s="91"/>
      <c r="I244" s="92"/>
    </row>
    <row r="245" spans="2:9" ht="18" customHeight="1" x14ac:dyDescent="0.4">
      <c r="B245" s="48"/>
      <c r="C245" s="93"/>
      <c r="D245" s="93"/>
      <c r="E245" s="48"/>
      <c r="F245" s="48"/>
      <c r="G245" s="48"/>
      <c r="H245" s="48"/>
      <c r="I245" s="93"/>
    </row>
    <row r="246" spans="2:9" ht="18" customHeight="1" x14ac:dyDescent="0.4">
      <c r="B246" s="91"/>
      <c r="C246" s="92"/>
      <c r="D246" s="92"/>
      <c r="E246" s="91"/>
      <c r="F246" s="91"/>
      <c r="G246" s="91"/>
      <c r="H246" s="91"/>
      <c r="I246" s="92"/>
    </row>
    <row r="247" spans="2:9" ht="18" customHeight="1" x14ac:dyDescent="0.4">
      <c r="B247" s="48"/>
      <c r="C247" s="93"/>
      <c r="D247" s="93"/>
      <c r="E247" s="48"/>
      <c r="F247" s="48"/>
      <c r="G247" s="48"/>
      <c r="H247" s="48"/>
      <c r="I247" s="93"/>
    </row>
    <row r="248" spans="2:9" ht="18" customHeight="1" x14ac:dyDescent="0.4">
      <c r="B248" s="91"/>
      <c r="C248" s="92"/>
      <c r="D248" s="92"/>
      <c r="E248" s="91"/>
      <c r="F248" s="91"/>
      <c r="G248" s="91"/>
      <c r="H248" s="91"/>
      <c r="I248" s="92"/>
    </row>
    <row r="249" spans="2:9" ht="18" customHeight="1" x14ac:dyDescent="0.4">
      <c r="B249" s="48"/>
      <c r="C249" s="93"/>
      <c r="D249" s="93"/>
      <c r="E249" s="48"/>
      <c r="F249" s="48"/>
      <c r="G249" s="48"/>
      <c r="H249" s="48"/>
      <c r="I249" s="93"/>
    </row>
    <row r="250" spans="2:9" ht="18" customHeight="1" x14ac:dyDescent="0.4">
      <c r="B250" s="91"/>
      <c r="C250" s="92"/>
      <c r="D250" s="92"/>
      <c r="E250" s="91"/>
      <c r="F250" s="91"/>
      <c r="G250" s="91"/>
      <c r="H250" s="91"/>
      <c r="I250" s="92"/>
    </row>
    <row r="251" spans="2:9" ht="18" customHeight="1" x14ac:dyDescent="0.4">
      <c r="B251" s="48"/>
      <c r="C251" s="93"/>
      <c r="D251" s="93"/>
      <c r="E251" s="48"/>
      <c r="F251" s="48"/>
      <c r="G251" s="48"/>
      <c r="H251" s="48"/>
      <c r="I251" s="93"/>
    </row>
    <row r="252" spans="2:9" ht="18" customHeight="1" x14ac:dyDescent="0.4">
      <c r="B252" s="91"/>
      <c r="C252" s="92"/>
      <c r="D252" s="92"/>
      <c r="E252" s="91"/>
      <c r="F252" s="91"/>
      <c r="G252" s="91"/>
      <c r="H252" s="91"/>
      <c r="I252" s="92"/>
    </row>
    <row r="253" spans="2:9" ht="18" customHeight="1" x14ac:dyDescent="0.4">
      <c r="B253" s="48"/>
      <c r="C253" s="93"/>
      <c r="D253" s="93"/>
      <c r="E253" s="48"/>
      <c r="F253" s="48"/>
      <c r="G253" s="48"/>
      <c r="H253" s="48"/>
      <c r="I253" s="93"/>
    </row>
    <row r="254" spans="2:9" ht="18" customHeight="1" x14ac:dyDescent="0.4">
      <c r="B254" s="91"/>
      <c r="C254" s="92"/>
      <c r="D254" s="92"/>
      <c r="E254" s="91"/>
      <c r="F254" s="91"/>
      <c r="G254" s="91"/>
      <c r="H254" s="91"/>
      <c r="I254" s="92"/>
    </row>
    <row r="255" spans="2:9" ht="18" customHeight="1" x14ac:dyDescent="0.4">
      <c r="B255" s="48"/>
      <c r="C255" s="93"/>
      <c r="D255" s="93"/>
      <c r="E255" s="48"/>
      <c r="F255" s="48"/>
      <c r="G255" s="48"/>
      <c r="H255" s="48"/>
      <c r="I255" s="93"/>
    </row>
    <row r="256" spans="2:9" ht="18" customHeight="1" x14ac:dyDescent="0.4">
      <c r="B256" s="91"/>
      <c r="C256" s="92"/>
      <c r="D256" s="92"/>
      <c r="E256" s="91"/>
      <c r="F256" s="91"/>
      <c r="G256" s="91"/>
      <c r="H256" s="91"/>
      <c r="I256" s="92"/>
    </row>
    <row r="257" spans="2:9" ht="18" customHeight="1" x14ac:dyDescent="0.4">
      <c r="B257" s="48"/>
      <c r="C257" s="93"/>
      <c r="D257" s="93"/>
      <c r="E257" s="48"/>
      <c r="F257" s="48"/>
      <c r="G257" s="48"/>
      <c r="H257" s="48"/>
      <c r="I257" s="93"/>
    </row>
    <row r="258" spans="2:9" ht="18" customHeight="1" x14ac:dyDescent="0.4">
      <c r="B258" s="91"/>
      <c r="C258" s="92"/>
      <c r="D258" s="92"/>
      <c r="E258" s="91"/>
      <c r="F258" s="91"/>
      <c r="G258" s="91"/>
      <c r="H258" s="91"/>
      <c r="I258" s="92"/>
    </row>
    <row r="259" spans="2:9" ht="18" customHeight="1" x14ac:dyDescent="0.4">
      <c r="B259" s="48"/>
      <c r="C259" s="93"/>
      <c r="D259" s="93"/>
      <c r="E259" s="48"/>
      <c r="F259" s="48"/>
      <c r="G259" s="48"/>
      <c r="H259" s="48"/>
      <c r="I259" s="93"/>
    </row>
    <row r="260" spans="2:9" ht="18" customHeight="1" x14ac:dyDescent="0.4">
      <c r="B260" s="91"/>
      <c r="C260" s="92"/>
      <c r="D260" s="92"/>
      <c r="E260" s="91"/>
      <c r="F260" s="91"/>
      <c r="G260" s="91"/>
      <c r="H260" s="91"/>
      <c r="I260" s="92"/>
    </row>
    <row r="261" spans="2:9" ht="18" customHeight="1" x14ac:dyDescent="0.4">
      <c r="B261" s="48"/>
      <c r="C261" s="93"/>
      <c r="D261" s="93"/>
      <c r="E261" s="48"/>
      <c r="F261" s="48"/>
      <c r="G261" s="48"/>
      <c r="H261" s="48"/>
      <c r="I261" s="93"/>
    </row>
    <row r="262" spans="2:9" ht="18" customHeight="1" x14ac:dyDescent="0.4">
      <c r="B262" s="91"/>
      <c r="C262" s="92"/>
      <c r="D262" s="92"/>
      <c r="E262" s="91"/>
      <c r="F262" s="91"/>
      <c r="G262" s="91"/>
      <c r="H262" s="91"/>
      <c r="I262" s="92"/>
    </row>
    <row r="263" spans="2:9" ht="18" customHeight="1" x14ac:dyDescent="0.4">
      <c r="B263" s="48"/>
      <c r="C263" s="93"/>
      <c r="D263" s="93"/>
      <c r="E263" s="48"/>
      <c r="F263" s="48"/>
      <c r="G263" s="48"/>
      <c r="H263" s="48"/>
      <c r="I263" s="93"/>
    </row>
    <row r="264" spans="2:9" ht="18" customHeight="1" x14ac:dyDescent="0.4">
      <c r="B264" s="91"/>
      <c r="C264" s="92"/>
      <c r="D264" s="92"/>
      <c r="E264" s="91"/>
      <c r="F264" s="91"/>
      <c r="G264" s="91"/>
      <c r="H264" s="91"/>
      <c r="I264" s="92"/>
    </row>
    <row r="265" spans="2:9" ht="18" customHeight="1" x14ac:dyDescent="0.4">
      <c r="B265" s="48"/>
      <c r="C265" s="93"/>
      <c r="D265" s="93"/>
      <c r="E265" s="48"/>
      <c r="F265" s="48"/>
      <c r="G265" s="48"/>
      <c r="H265" s="48"/>
      <c r="I265" s="93"/>
    </row>
    <row r="266" spans="2:9" ht="18" customHeight="1" x14ac:dyDescent="0.4">
      <c r="B266" s="91"/>
      <c r="C266" s="92"/>
      <c r="D266" s="92"/>
      <c r="E266" s="91"/>
      <c r="F266" s="91"/>
      <c r="G266" s="91"/>
      <c r="H266" s="91"/>
      <c r="I266" s="92"/>
    </row>
    <row r="267" spans="2:9" ht="18" customHeight="1" x14ac:dyDescent="0.4">
      <c r="B267" s="48"/>
      <c r="C267" s="93"/>
      <c r="D267" s="93"/>
      <c r="E267" s="48"/>
      <c r="F267" s="48"/>
      <c r="G267" s="48"/>
      <c r="H267" s="48"/>
      <c r="I267" s="93"/>
    </row>
    <row r="268" spans="2:9" ht="18" customHeight="1" x14ac:dyDescent="0.4">
      <c r="B268" s="91"/>
      <c r="C268" s="92"/>
      <c r="D268" s="92"/>
      <c r="E268" s="91"/>
      <c r="F268" s="91"/>
      <c r="G268" s="91"/>
      <c r="H268" s="91"/>
      <c r="I268" s="92"/>
    </row>
    <row r="269" spans="2:9" ht="18" customHeight="1" x14ac:dyDescent="0.4">
      <c r="B269" s="48"/>
      <c r="C269" s="93"/>
      <c r="D269" s="93"/>
      <c r="E269" s="48"/>
      <c r="F269" s="48"/>
      <c r="G269" s="48"/>
      <c r="H269" s="48"/>
      <c r="I269" s="93"/>
    </row>
    <row r="270" spans="2:9" ht="18" customHeight="1" x14ac:dyDescent="0.4">
      <c r="B270" s="91"/>
      <c r="C270" s="92"/>
      <c r="D270" s="92"/>
      <c r="E270" s="91"/>
      <c r="F270" s="91"/>
      <c r="G270" s="91"/>
      <c r="H270" s="91"/>
      <c r="I270" s="92"/>
    </row>
    <row r="271" spans="2:9" ht="18" customHeight="1" x14ac:dyDescent="0.4">
      <c r="B271" s="48"/>
      <c r="C271" s="93"/>
      <c r="D271" s="93"/>
      <c r="E271" s="48"/>
      <c r="F271" s="48"/>
      <c r="G271" s="48"/>
      <c r="H271" s="48"/>
      <c r="I271" s="93"/>
    </row>
    <row r="272" spans="2:9" ht="18" customHeight="1" x14ac:dyDescent="0.4">
      <c r="B272" s="91"/>
      <c r="C272" s="92"/>
      <c r="D272" s="92"/>
      <c r="E272" s="91"/>
      <c r="F272" s="91"/>
      <c r="G272" s="91"/>
      <c r="H272" s="91"/>
      <c r="I272" s="92"/>
    </row>
    <row r="273" spans="2:9" ht="18" customHeight="1" x14ac:dyDescent="0.4">
      <c r="B273" s="48"/>
      <c r="C273" s="93"/>
      <c r="D273" s="93"/>
      <c r="E273" s="48"/>
      <c r="F273" s="48"/>
      <c r="G273" s="48"/>
      <c r="H273" s="48"/>
      <c r="I273" s="93"/>
    </row>
    <row r="274" spans="2:9" ht="18" customHeight="1" x14ac:dyDescent="0.4">
      <c r="B274" s="91"/>
      <c r="C274" s="92"/>
      <c r="D274" s="92"/>
      <c r="E274" s="91"/>
      <c r="F274" s="91"/>
      <c r="G274" s="91"/>
      <c r="H274" s="91"/>
      <c r="I274" s="92"/>
    </row>
    <row r="275" spans="2:9" ht="18" customHeight="1" x14ac:dyDescent="0.4">
      <c r="B275" s="48"/>
      <c r="C275" s="93"/>
      <c r="D275" s="93"/>
      <c r="E275" s="48"/>
      <c r="F275" s="48"/>
      <c r="G275" s="48"/>
      <c r="H275" s="48"/>
      <c r="I275" s="93"/>
    </row>
    <row r="276" spans="2:9" ht="18" customHeight="1" x14ac:dyDescent="0.4">
      <c r="B276" s="91"/>
      <c r="C276" s="92"/>
      <c r="D276" s="92"/>
      <c r="E276" s="91"/>
      <c r="F276" s="91"/>
      <c r="G276" s="91"/>
      <c r="H276" s="91"/>
      <c r="I276" s="92"/>
    </row>
    <row r="277" spans="2:9" ht="18" customHeight="1" x14ac:dyDescent="0.4">
      <c r="B277" s="48"/>
      <c r="C277" s="93"/>
      <c r="D277" s="93"/>
      <c r="E277" s="48"/>
      <c r="F277" s="48"/>
      <c r="G277" s="48"/>
      <c r="H277" s="48"/>
      <c r="I277" s="93"/>
    </row>
    <row r="278" spans="2:9" ht="18" customHeight="1" x14ac:dyDescent="0.4">
      <c r="B278" s="91"/>
      <c r="C278" s="92"/>
      <c r="D278" s="92"/>
      <c r="E278" s="91"/>
      <c r="F278" s="91"/>
      <c r="G278" s="91"/>
      <c r="H278" s="91"/>
      <c r="I278" s="92"/>
    </row>
    <row r="279" spans="2:9" ht="18" customHeight="1" x14ac:dyDescent="0.4">
      <c r="B279" s="48"/>
      <c r="C279" s="93"/>
      <c r="D279" s="93"/>
      <c r="E279" s="48"/>
      <c r="F279" s="48"/>
      <c r="G279" s="48"/>
      <c r="H279" s="48"/>
      <c r="I279" s="93"/>
    </row>
    <row r="280" spans="2:9" ht="18" customHeight="1" x14ac:dyDescent="0.4">
      <c r="B280" s="91"/>
      <c r="C280" s="92"/>
      <c r="D280" s="92"/>
      <c r="E280" s="91"/>
      <c r="F280" s="91"/>
      <c r="G280" s="91"/>
      <c r="H280" s="91"/>
      <c r="I280" s="92"/>
    </row>
    <row r="281" spans="2:9" ht="18" customHeight="1" x14ac:dyDescent="0.4">
      <c r="B281" s="48"/>
      <c r="C281" s="93"/>
      <c r="D281" s="93"/>
      <c r="E281" s="48"/>
      <c r="F281" s="48"/>
      <c r="G281" s="48"/>
      <c r="H281" s="48"/>
      <c r="I281" s="93"/>
    </row>
    <row r="282" spans="2:9" ht="18" customHeight="1" x14ac:dyDescent="0.4">
      <c r="B282" s="91"/>
      <c r="C282" s="92"/>
      <c r="D282" s="92"/>
      <c r="E282" s="91"/>
      <c r="F282" s="91"/>
      <c r="G282" s="91"/>
      <c r="H282" s="91"/>
      <c r="I282" s="92"/>
    </row>
    <row r="283" spans="2:9" ht="18" customHeight="1" x14ac:dyDescent="0.4">
      <c r="B283" s="48"/>
      <c r="C283" s="93"/>
      <c r="D283" s="93"/>
      <c r="E283" s="48"/>
      <c r="F283" s="48"/>
      <c r="G283" s="48"/>
      <c r="H283" s="48"/>
      <c r="I283" s="93"/>
    </row>
    <row r="284" spans="2:9" ht="18" customHeight="1" x14ac:dyDescent="0.4">
      <c r="B284" s="91"/>
      <c r="C284" s="92"/>
      <c r="D284" s="92"/>
      <c r="E284" s="91"/>
      <c r="F284" s="91"/>
      <c r="G284" s="91"/>
      <c r="H284" s="91"/>
      <c r="I284" s="92"/>
    </row>
    <row r="285" spans="2:9" ht="18" customHeight="1" x14ac:dyDescent="0.4">
      <c r="B285" s="48"/>
      <c r="C285" s="93"/>
      <c r="D285" s="93"/>
      <c r="E285" s="48"/>
      <c r="F285" s="48"/>
      <c r="G285" s="48"/>
      <c r="H285" s="48"/>
      <c r="I285" s="93"/>
    </row>
    <row r="286" spans="2:9" ht="18" customHeight="1" x14ac:dyDescent="0.4">
      <c r="B286" s="91"/>
      <c r="C286" s="92"/>
      <c r="D286" s="92"/>
      <c r="E286" s="91"/>
      <c r="F286" s="91"/>
      <c r="G286" s="91"/>
      <c r="H286" s="91"/>
      <c r="I286" s="92"/>
    </row>
    <row r="287" spans="2:9" ht="18" customHeight="1" x14ac:dyDescent="0.4">
      <c r="B287" s="48"/>
      <c r="C287" s="93"/>
      <c r="D287" s="93"/>
      <c r="E287" s="48"/>
      <c r="F287" s="48"/>
      <c r="G287" s="48"/>
      <c r="H287" s="48"/>
      <c r="I287" s="93"/>
    </row>
    <row r="288" spans="2:9" ht="18" customHeight="1" x14ac:dyDescent="0.4">
      <c r="B288" s="91"/>
      <c r="C288" s="92"/>
      <c r="D288" s="92"/>
      <c r="E288" s="91"/>
      <c r="F288" s="91"/>
      <c r="G288" s="91"/>
      <c r="H288" s="91"/>
      <c r="I288" s="92"/>
    </row>
    <row r="289" spans="2:9" ht="18" customHeight="1" x14ac:dyDescent="0.4">
      <c r="B289" s="48"/>
      <c r="C289" s="93"/>
      <c r="D289" s="93"/>
      <c r="E289" s="48"/>
      <c r="F289" s="48"/>
      <c r="G289" s="48"/>
      <c r="H289" s="48"/>
      <c r="I289" s="93"/>
    </row>
    <row r="290" spans="2:9" ht="18" customHeight="1" x14ac:dyDescent="0.4">
      <c r="B290" s="91"/>
      <c r="C290" s="92"/>
      <c r="D290" s="92"/>
      <c r="E290" s="91"/>
      <c r="F290" s="91"/>
      <c r="G290" s="91"/>
      <c r="H290" s="91"/>
      <c r="I290" s="92"/>
    </row>
    <row r="291" spans="2:9" ht="18" customHeight="1" x14ac:dyDescent="0.4">
      <c r="B291" s="48"/>
      <c r="C291" s="93"/>
      <c r="D291" s="93"/>
      <c r="E291" s="48"/>
      <c r="F291" s="48"/>
      <c r="G291" s="48"/>
      <c r="H291" s="48"/>
      <c r="I291" s="93"/>
    </row>
    <row r="292" spans="2:9" ht="18" customHeight="1" x14ac:dyDescent="0.4">
      <c r="B292" s="91"/>
      <c r="C292" s="92"/>
      <c r="D292" s="92"/>
      <c r="E292" s="91"/>
      <c r="F292" s="91"/>
      <c r="G292" s="91"/>
      <c r="H292" s="91"/>
      <c r="I292" s="92"/>
    </row>
    <row r="293" spans="2:9" ht="18" customHeight="1" x14ac:dyDescent="0.4">
      <c r="B293" s="48"/>
      <c r="C293" s="93"/>
      <c r="D293" s="93"/>
      <c r="E293" s="48"/>
      <c r="F293" s="48"/>
      <c r="G293" s="48"/>
      <c r="H293" s="48"/>
      <c r="I293" s="93"/>
    </row>
  </sheetData>
  <mergeCells count="1">
    <mergeCell ref="B2:I2"/>
  </mergeCells>
  <dataValidations count="1">
    <dataValidation type="list" allowBlank="1" sqref="I4:I294" xr:uid="{00000000-0002-0000-0600-000000000000}">
      <formula1>"Planned,In Progress,Loaded,Error,Skipped"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B3A5C"/>
  </sheetPr>
  <dimension ref="B1:H78"/>
  <sheetViews>
    <sheetView showGridLines="0" tabSelected="1" zoomScaleNormal="100" workbookViewId="0"/>
  </sheetViews>
  <sheetFormatPr defaultColWidth="8.69140625" defaultRowHeight="14.6" x14ac:dyDescent="0.4"/>
  <cols>
    <col min="1" max="1" width="2" customWidth="1"/>
    <col min="2" max="2" width="18" customWidth="1"/>
    <col min="3" max="3" width="16" customWidth="1"/>
    <col min="4" max="4" width="10" customWidth="1"/>
    <col min="5" max="5" width="14" customWidth="1"/>
    <col min="6" max="6" width="16" bestFit="1" customWidth="1"/>
    <col min="7" max="7" width="30" customWidth="1"/>
    <col min="8" max="8" width="2" customWidth="1"/>
  </cols>
  <sheetData>
    <row r="1" spans="2:8" ht="7.5" customHeight="1" x14ac:dyDescent="0.4"/>
    <row r="2" spans="2:8" ht="27.75" customHeight="1" x14ac:dyDescent="0.4">
      <c r="B2" s="1" t="s">
        <v>237</v>
      </c>
      <c r="C2" s="1"/>
      <c r="D2" s="1"/>
      <c r="E2" s="1"/>
      <c r="F2" s="1"/>
      <c r="G2" s="1"/>
      <c r="H2" s="1"/>
    </row>
    <row r="3" spans="2:8" ht="27.75" customHeight="1" x14ac:dyDescent="0.4">
      <c r="B3" s="13" t="s">
        <v>42</v>
      </c>
      <c r="C3" s="13" t="s">
        <v>238</v>
      </c>
      <c r="D3" s="13" t="s">
        <v>3</v>
      </c>
      <c r="E3" s="13" t="s">
        <v>239</v>
      </c>
      <c r="F3" s="13" t="s">
        <v>240</v>
      </c>
      <c r="G3" s="13" t="s">
        <v>241</v>
      </c>
    </row>
    <row r="4" spans="2:8" ht="18" customHeight="1" x14ac:dyDescent="0.4">
      <c r="B4" s="94" t="s">
        <v>242</v>
      </c>
      <c r="C4" s="86" t="s">
        <v>243</v>
      </c>
      <c r="D4" s="86" t="s">
        <v>244</v>
      </c>
      <c r="E4" s="95" t="s">
        <v>245</v>
      </c>
      <c r="F4" s="95" t="s">
        <v>245</v>
      </c>
      <c r="G4" s="96"/>
    </row>
    <row r="5" spans="2:8" ht="18" customHeight="1" x14ac:dyDescent="0.4">
      <c r="B5" s="94" t="s">
        <v>246</v>
      </c>
      <c r="C5" s="86" t="s">
        <v>243</v>
      </c>
      <c r="D5" s="86" t="s">
        <v>244</v>
      </c>
      <c r="E5" s="95" t="s">
        <v>245</v>
      </c>
      <c r="F5" s="95" t="s">
        <v>245</v>
      </c>
      <c r="G5" s="96"/>
    </row>
    <row r="6" spans="2:8" ht="18" customHeight="1" x14ac:dyDescent="0.4">
      <c r="B6" s="94" t="s">
        <v>247</v>
      </c>
      <c r="C6" s="86" t="s">
        <v>243</v>
      </c>
      <c r="D6" s="86" t="s">
        <v>244</v>
      </c>
      <c r="E6" s="95" t="s">
        <v>245</v>
      </c>
      <c r="F6" s="95" t="s">
        <v>245</v>
      </c>
      <c r="G6" s="96"/>
    </row>
    <row r="7" spans="2:8" ht="18" customHeight="1" x14ac:dyDescent="0.4">
      <c r="B7" s="94" t="s">
        <v>248</v>
      </c>
      <c r="C7" s="86" t="s">
        <v>243</v>
      </c>
      <c r="D7" s="86" t="s">
        <v>244</v>
      </c>
      <c r="E7" s="95" t="s">
        <v>245</v>
      </c>
      <c r="F7" s="95" t="s">
        <v>245</v>
      </c>
      <c r="G7" s="96"/>
    </row>
    <row r="8" spans="2:8" ht="18" customHeight="1" x14ac:dyDescent="0.4">
      <c r="B8" s="94" t="s">
        <v>249</v>
      </c>
      <c r="C8" s="86" t="s">
        <v>243</v>
      </c>
      <c r="D8" s="86" t="s">
        <v>244</v>
      </c>
      <c r="E8" s="95" t="s">
        <v>245</v>
      </c>
      <c r="F8" s="95" t="s">
        <v>245</v>
      </c>
      <c r="G8" s="96"/>
    </row>
    <row r="9" spans="2:8" ht="18" customHeight="1" x14ac:dyDescent="0.4">
      <c r="B9" s="94" t="s">
        <v>250</v>
      </c>
      <c r="C9" s="86" t="s">
        <v>243</v>
      </c>
      <c r="D9" s="86" t="s">
        <v>244</v>
      </c>
      <c r="E9" s="95" t="s">
        <v>245</v>
      </c>
      <c r="F9" s="95" t="s">
        <v>245</v>
      </c>
      <c r="G9" s="96"/>
    </row>
    <row r="10" spans="2:8" ht="18" customHeight="1" x14ac:dyDescent="0.4">
      <c r="B10" s="94" t="s">
        <v>251</v>
      </c>
      <c r="C10" s="86" t="s">
        <v>243</v>
      </c>
      <c r="D10" s="86" t="s">
        <v>244</v>
      </c>
      <c r="E10" s="95" t="s">
        <v>245</v>
      </c>
      <c r="F10" s="95" t="s">
        <v>245</v>
      </c>
      <c r="G10" s="96"/>
    </row>
    <row r="11" spans="2:8" ht="18" customHeight="1" x14ac:dyDescent="0.4">
      <c r="B11" s="94" t="s">
        <v>252</v>
      </c>
      <c r="C11" s="86" t="s">
        <v>243</v>
      </c>
      <c r="D11" s="86" t="s">
        <v>244</v>
      </c>
      <c r="E11" s="95" t="s">
        <v>245</v>
      </c>
      <c r="F11" s="95" t="s">
        <v>245</v>
      </c>
      <c r="G11" s="96"/>
    </row>
    <row r="12" spans="2:8" ht="18" customHeight="1" x14ac:dyDescent="0.4">
      <c r="B12" s="94" t="s">
        <v>253</v>
      </c>
      <c r="C12" s="86" t="s">
        <v>243</v>
      </c>
      <c r="D12" s="86" t="s">
        <v>244</v>
      </c>
      <c r="E12" s="95" t="s">
        <v>245</v>
      </c>
      <c r="F12" s="95" t="s">
        <v>245</v>
      </c>
      <c r="G12" s="96"/>
    </row>
    <row r="13" spans="2:8" ht="18" customHeight="1" x14ac:dyDescent="0.4">
      <c r="B13" s="94" t="s">
        <v>254</v>
      </c>
      <c r="C13" s="86" t="s">
        <v>243</v>
      </c>
      <c r="D13" s="86" t="s">
        <v>244</v>
      </c>
      <c r="E13" s="95" t="s">
        <v>245</v>
      </c>
      <c r="F13" s="95" t="s">
        <v>245</v>
      </c>
      <c r="G13" s="96"/>
    </row>
    <row r="14" spans="2:8" ht="18" customHeight="1" x14ac:dyDescent="0.4">
      <c r="B14" s="94" t="s">
        <v>255</v>
      </c>
      <c r="C14" s="86" t="s">
        <v>243</v>
      </c>
      <c r="D14" s="86" t="s">
        <v>244</v>
      </c>
      <c r="E14" s="95" t="s">
        <v>245</v>
      </c>
      <c r="F14" s="95" t="s">
        <v>245</v>
      </c>
      <c r="G14" s="96"/>
    </row>
    <row r="15" spans="2:8" ht="18" customHeight="1" x14ac:dyDescent="0.4">
      <c r="B15" s="94" t="s">
        <v>256</v>
      </c>
      <c r="C15" s="86" t="s">
        <v>243</v>
      </c>
      <c r="D15" s="86" t="s">
        <v>244</v>
      </c>
      <c r="E15" s="95" t="s">
        <v>245</v>
      </c>
      <c r="F15" s="95" t="s">
        <v>245</v>
      </c>
      <c r="G15" s="96"/>
    </row>
    <row r="16" spans="2:8" ht="18" customHeight="1" x14ac:dyDescent="0.4">
      <c r="B16" s="94" t="s">
        <v>257</v>
      </c>
      <c r="C16" s="86" t="s">
        <v>243</v>
      </c>
      <c r="D16" s="86" t="s">
        <v>244</v>
      </c>
      <c r="E16" s="95" t="s">
        <v>245</v>
      </c>
      <c r="F16" s="95" t="s">
        <v>245</v>
      </c>
      <c r="G16" s="96"/>
    </row>
    <row r="17" spans="2:7" ht="18" customHeight="1" x14ac:dyDescent="0.4">
      <c r="B17" s="94" t="s">
        <v>258</v>
      </c>
      <c r="C17" s="86" t="s">
        <v>243</v>
      </c>
      <c r="D17" s="86" t="s">
        <v>244</v>
      </c>
      <c r="E17" s="95" t="s">
        <v>245</v>
      </c>
      <c r="F17" s="95" t="s">
        <v>245</v>
      </c>
      <c r="G17" s="96"/>
    </row>
    <row r="18" spans="2:7" ht="18" customHeight="1" x14ac:dyDescent="0.4">
      <c r="B18" s="97" t="s">
        <v>259</v>
      </c>
      <c r="C18" s="98" t="s">
        <v>260</v>
      </c>
      <c r="D18" s="98" t="s">
        <v>244</v>
      </c>
      <c r="E18" s="95" t="s">
        <v>245</v>
      </c>
      <c r="F18" s="95" t="s">
        <v>245</v>
      </c>
      <c r="G18" s="96"/>
    </row>
    <row r="19" spans="2:7" ht="18" customHeight="1" x14ac:dyDescent="0.4">
      <c r="B19" s="97" t="s">
        <v>261</v>
      </c>
      <c r="C19" s="98" t="s">
        <v>260</v>
      </c>
      <c r="D19" s="98" t="s">
        <v>244</v>
      </c>
      <c r="E19" s="95" t="s">
        <v>245</v>
      </c>
      <c r="F19" s="95" t="s">
        <v>245</v>
      </c>
      <c r="G19" s="96"/>
    </row>
    <row r="20" spans="2:7" ht="18" customHeight="1" x14ac:dyDescent="0.4">
      <c r="B20" s="97" t="s">
        <v>262</v>
      </c>
      <c r="C20" s="98" t="s">
        <v>260</v>
      </c>
      <c r="D20" s="98" t="s">
        <v>244</v>
      </c>
      <c r="E20" s="95" t="s">
        <v>245</v>
      </c>
      <c r="F20" s="95" t="s">
        <v>245</v>
      </c>
      <c r="G20" s="96"/>
    </row>
    <row r="21" spans="2:7" ht="18" customHeight="1" x14ac:dyDescent="0.4">
      <c r="B21" s="97" t="s">
        <v>263</v>
      </c>
      <c r="C21" s="98" t="s">
        <v>260</v>
      </c>
      <c r="D21" s="98" t="s">
        <v>244</v>
      </c>
      <c r="E21" s="95" t="s">
        <v>245</v>
      </c>
      <c r="F21" s="95" t="s">
        <v>245</v>
      </c>
      <c r="G21" s="96"/>
    </row>
    <row r="22" spans="2:7" ht="18" customHeight="1" x14ac:dyDescent="0.4">
      <c r="B22" s="97" t="s">
        <v>264</v>
      </c>
      <c r="C22" s="98" t="s">
        <v>260</v>
      </c>
      <c r="D22" s="98" t="s">
        <v>244</v>
      </c>
      <c r="E22" s="95" t="s">
        <v>245</v>
      </c>
      <c r="F22" s="95" t="s">
        <v>245</v>
      </c>
      <c r="G22" s="96"/>
    </row>
    <row r="23" spans="2:7" ht="18" customHeight="1" x14ac:dyDescent="0.4">
      <c r="B23" s="97" t="s">
        <v>265</v>
      </c>
      <c r="C23" s="98" t="s">
        <v>260</v>
      </c>
      <c r="D23" s="98" t="s">
        <v>244</v>
      </c>
      <c r="E23" s="95" t="s">
        <v>245</v>
      </c>
      <c r="F23" s="95" t="s">
        <v>245</v>
      </c>
      <c r="G23" s="96"/>
    </row>
    <row r="24" spans="2:7" ht="18" customHeight="1" x14ac:dyDescent="0.4">
      <c r="B24" s="97" t="s">
        <v>266</v>
      </c>
      <c r="C24" s="98" t="s">
        <v>260</v>
      </c>
      <c r="D24" s="98" t="s">
        <v>244</v>
      </c>
      <c r="E24" s="95" t="s">
        <v>245</v>
      </c>
      <c r="F24" s="95" t="s">
        <v>245</v>
      </c>
      <c r="G24" s="96"/>
    </row>
    <row r="25" spans="2:7" ht="18" customHeight="1" x14ac:dyDescent="0.4">
      <c r="B25" s="97" t="s">
        <v>267</v>
      </c>
      <c r="C25" s="98" t="s">
        <v>260</v>
      </c>
      <c r="D25" s="98" t="s">
        <v>244</v>
      </c>
      <c r="E25" s="95" t="s">
        <v>245</v>
      </c>
      <c r="F25" s="95" t="s">
        <v>245</v>
      </c>
      <c r="G25" s="96"/>
    </row>
    <row r="26" spans="2:7" ht="18" customHeight="1" x14ac:dyDescent="0.4">
      <c r="B26" s="97" t="s">
        <v>268</v>
      </c>
      <c r="C26" s="98" t="s">
        <v>260</v>
      </c>
      <c r="D26" s="98" t="s">
        <v>244</v>
      </c>
      <c r="E26" s="95" t="s">
        <v>245</v>
      </c>
      <c r="F26" s="95" t="s">
        <v>245</v>
      </c>
      <c r="G26" s="96"/>
    </row>
    <row r="27" spans="2:7" ht="18" customHeight="1" x14ac:dyDescent="0.4">
      <c r="B27" s="97" t="s">
        <v>269</v>
      </c>
      <c r="C27" s="98" t="s">
        <v>260</v>
      </c>
      <c r="D27" s="98" t="s">
        <v>244</v>
      </c>
      <c r="E27" s="95" t="s">
        <v>245</v>
      </c>
      <c r="F27" s="95" t="s">
        <v>245</v>
      </c>
      <c r="G27" s="96"/>
    </row>
    <row r="28" spans="2:7" ht="18" customHeight="1" x14ac:dyDescent="0.4">
      <c r="B28" s="97" t="s">
        <v>270</v>
      </c>
      <c r="C28" s="98" t="s">
        <v>260</v>
      </c>
      <c r="D28" s="98" t="s">
        <v>244</v>
      </c>
      <c r="E28" s="95" t="s">
        <v>245</v>
      </c>
      <c r="F28" s="95" t="s">
        <v>245</v>
      </c>
      <c r="G28" s="96"/>
    </row>
    <row r="29" spans="2:7" ht="18" customHeight="1" x14ac:dyDescent="0.4">
      <c r="B29" s="97" t="s">
        <v>271</v>
      </c>
      <c r="C29" s="98" t="s">
        <v>260</v>
      </c>
      <c r="D29" s="98" t="s">
        <v>244</v>
      </c>
      <c r="E29" s="95" t="s">
        <v>245</v>
      </c>
      <c r="F29" s="95" t="s">
        <v>245</v>
      </c>
      <c r="G29" s="96"/>
    </row>
    <row r="30" spans="2:7" ht="18" customHeight="1" x14ac:dyDescent="0.4">
      <c r="B30" s="97" t="s">
        <v>272</v>
      </c>
      <c r="C30" s="98" t="s">
        <v>260</v>
      </c>
      <c r="D30" s="98" t="s">
        <v>244</v>
      </c>
      <c r="E30" s="95" t="s">
        <v>245</v>
      </c>
      <c r="F30" s="95" t="s">
        <v>245</v>
      </c>
      <c r="G30" s="96"/>
    </row>
    <row r="31" spans="2:7" ht="18" customHeight="1" x14ac:dyDescent="0.4">
      <c r="B31" s="97" t="s">
        <v>273</v>
      </c>
      <c r="C31" s="98" t="s">
        <v>260</v>
      </c>
      <c r="D31" s="98" t="s">
        <v>244</v>
      </c>
      <c r="E31" s="95" t="s">
        <v>245</v>
      </c>
      <c r="F31" s="95" t="s">
        <v>245</v>
      </c>
      <c r="G31" s="96"/>
    </row>
    <row r="32" spans="2:7" ht="18" customHeight="1" x14ac:dyDescent="0.4">
      <c r="B32" s="97" t="s">
        <v>274</v>
      </c>
      <c r="C32" s="98" t="s">
        <v>260</v>
      </c>
      <c r="D32" s="98" t="s">
        <v>244</v>
      </c>
      <c r="E32" s="95" t="s">
        <v>245</v>
      </c>
      <c r="F32" s="95" t="s">
        <v>245</v>
      </c>
      <c r="G32" s="96"/>
    </row>
    <row r="33" spans="2:7" ht="18" customHeight="1" x14ac:dyDescent="0.4">
      <c r="B33" s="97" t="s">
        <v>275</v>
      </c>
      <c r="C33" s="98" t="s">
        <v>260</v>
      </c>
      <c r="D33" s="98" t="s">
        <v>244</v>
      </c>
      <c r="E33" s="95" t="s">
        <v>245</v>
      </c>
      <c r="F33" s="95" t="s">
        <v>245</v>
      </c>
      <c r="G33" s="96"/>
    </row>
    <row r="34" spans="2:7" ht="18" customHeight="1" x14ac:dyDescent="0.4">
      <c r="B34" s="97" t="s">
        <v>276</v>
      </c>
      <c r="C34" s="98" t="s">
        <v>260</v>
      </c>
      <c r="D34" s="98" t="s">
        <v>244</v>
      </c>
      <c r="E34" s="95" t="s">
        <v>245</v>
      </c>
      <c r="F34" s="95" t="s">
        <v>245</v>
      </c>
      <c r="G34" s="96"/>
    </row>
    <row r="35" spans="2:7" ht="18" customHeight="1" x14ac:dyDescent="0.4">
      <c r="B35" s="99" t="s">
        <v>277</v>
      </c>
      <c r="C35" s="100" t="s">
        <v>278</v>
      </c>
      <c r="D35" s="100" t="s">
        <v>244</v>
      </c>
      <c r="E35" s="95" t="s">
        <v>245</v>
      </c>
      <c r="F35" s="95" t="s">
        <v>245</v>
      </c>
      <c r="G35" s="96"/>
    </row>
    <row r="36" spans="2:7" ht="18" customHeight="1" x14ac:dyDescent="0.4">
      <c r="B36" s="99" t="s">
        <v>279</v>
      </c>
      <c r="C36" s="100" t="s">
        <v>278</v>
      </c>
      <c r="D36" s="100" t="s">
        <v>244</v>
      </c>
      <c r="E36" s="95" t="s">
        <v>245</v>
      </c>
      <c r="F36" s="95" t="s">
        <v>245</v>
      </c>
      <c r="G36" s="96"/>
    </row>
    <row r="37" spans="2:7" ht="18" customHeight="1" x14ac:dyDescent="0.4">
      <c r="B37" s="99" t="s">
        <v>280</v>
      </c>
      <c r="C37" s="100" t="s">
        <v>278</v>
      </c>
      <c r="D37" s="100" t="s">
        <v>244</v>
      </c>
      <c r="E37" s="95" t="s">
        <v>245</v>
      </c>
      <c r="F37" s="95" t="s">
        <v>245</v>
      </c>
      <c r="G37" s="96"/>
    </row>
    <row r="38" spans="2:7" ht="18" customHeight="1" x14ac:dyDescent="0.4">
      <c r="B38" s="99" t="s">
        <v>281</v>
      </c>
      <c r="C38" s="100" t="s">
        <v>278</v>
      </c>
      <c r="D38" s="100" t="s">
        <v>244</v>
      </c>
      <c r="E38" s="95" t="s">
        <v>245</v>
      </c>
      <c r="F38" s="95" t="s">
        <v>245</v>
      </c>
      <c r="G38" s="96"/>
    </row>
    <row r="39" spans="2:7" ht="18" customHeight="1" x14ac:dyDescent="0.4">
      <c r="B39" s="99" t="s">
        <v>282</v>
      </c>
      <c r="C39" s="100" t="s">
        <v>278</v>
      </c>
      <c r="D39" s="100" t="s">
        <v>244</v>
      </c>
      <c r="E39" s="95" t="s">
        <v>245</v>
      </c>
      <c r="F39" s="95" t="s">
        <v>245</v>
      </c>
      <c r="G39" s="96"/>
    </row>
    <row r="40" spans="2:7" ht="18" customHeight="1" x14ac:dyDescent="0.4">
      <c r="B40" s="99" t="s">
        <v>283</v>
      </c>
      <c r="C40" s="100" t="s">
        <v>278</v>
      </c>
      <c r="D40" s="100" t="s">
        <v>244</v>
      </c>
      <c r="E40" s="95" t="s">
        <v>245</v>
      </c>
      <c r="F40" s="95" t="s">
        <v>245</v>
      </c>
      <c r="G40" s="96"/>
    </row>
    <row r="41" spans="2:7" ht="18" customHeight="1" x14ac:dyDescent="0.4">
      <c r="B41" s="99" t="s">
        <v>284</v>
      </c>
      <c r="C41" s="100" t="s">
        <v>278</v>
      </c>
      <c r="D41" s="100" t="s">
        <v>244</v>
      </c>
      <c r="E41" s="95" t="s">
        <v>245</v>
      </c>
      <c r="F41" s="95" t="s">
        <v>245</v>
      </c>
      <c r="G41" s="96"/>
    </row>
    <row r="42" spans="2:7" ht="18" customHeight="1" x14ac:dyDescent="0.4">
      <c r="B42" s="99" t="s">
        <v>285</v>
      </c>
      <c r="C42" s="100" t="s">
        <v>278</v>
      </c>
      <c r="D42" s="100" t="s">
        <v>244</v>
      </c>
      <c r="E42" s="95" t="s">
        <v>245</v>
      </c>
      <c r="F42" s="95" t="s">
        <v>245</v>
      </c>
      <c r="G42" s="96"/>
    </row>
    <row r="43" spans="2:7" ht="18" customHeight="1" x14ac:dyDescent="0.4">
      <c r="B43" s="99" t="s">
        <v>286</v>
      </c>
      <c r="C43" s="100" t="s">
        <v>278</v>
      </c>
      <c r="D43" s="100" t="s">
        <v>244</v>
      </c>
      <c r="E43" s="95" t="s">
        <v>245</v>
      </c>
      <c r="F43" s="95" t="s">
        <v>245</v>
      </c>
      <c r="G43" s="96"/>
    </row>
    <row r="44" spans="2:7" ht="18" customHeight="1" x14ac:dyDescent="0.4">
      <c r="B44" s="99" t="s">
        <v>287</v>
      </c>
      <c r="C44" s="100" t="s">
        <v>278</v>
      </c>
      <c r="D44" s="100" t="s">
        <v>244</v>
      </c>
      <c r="E44" s="95" t="s">
        <v>245</v>
      </c>
      <c r="F44" s="95" t="s">
        <v>245</v>
      </c>
      <c r="G44" s="96"/>
    </row>
    <row r="45" spans="2:7" ht="18" customHeight="1" x14ac:dyDescent="0.4">
      <c r="B45" s="99" t="s">
        <v>288</v>
      </c>
      <c r="C45" s="100" t="s">
        <v>278</v>
      </c>
      <c r="D45" s="100" t="s">
        <v>244</v>
      </c>
      <c r="E45" s="95" t="s">
        <v>245</v>
      </c>
      <c r="F45" s="95" t="s">
        <v>245</v>
      </c>
      <c r="G45" s="96"/>
    </row>
    <row r="46" spans="2:7" ht="18" customHeight="1" x14ac:dyDescent="0.4">
      <c r="B46" s="99" t="s">
        <v>289</v>
      </c>
      <c r="C46" s="100" t="s">
        <v>278</v>
      </c>
      <c r="D46" s="100" t="s">
        <v>244</v>
      </c>
      <c r="E46" s="95" t="s">
        <v>245</v>
      </c>
      <c r="F46" s="95" t="s">
        <v>245</v>
      </c>
      <c r="G46" s="96"/>
    </row>
    <row r="47" spans="2:7" ht="18" customHeight="1" x14ac:dyDescent="0.4">
      <c r="B47" s="99" t="s">
        <v>290</v>
      </c>
      <c r="C47" s="100" t="s">
        <v>278</v>
      </c>
      <c r="D47" s="100" t="s">
        <v>244</v>
      </c>
      <c r="E47" s="95" t="s">
        <v>245</v>
      </c>
      <c r="F47" s="95" t="s">
        <v>245</v>
      </c>
      <c r="G47" s="96"/>
    </row>
    <row r="48" spans="2:7" ht="18" customHeight="1" x14ac:dyDescent="0.4">
      <c r="B48" s="99" t="s">
        <v>291</v>
      </c>
      <c r="C48" s="100" t="s">
        <v>278</v>
      </c>
      <c r="D48" s="100" t="s">
        <v>244</v>
      </c>
      <c r="E48" s="95" t="s">
        <v>245</v>
      </c>
      <c r="F48" s="95" t="s">
        <v>245</v>
      </c>
      <c r="G48" s="96"/>
    </row>
    <row r="49" spans="2:7" ht="18" customHeight="1" x14ac:dyDescent="0.4">
      <c r="B49" s="101" t="s">
        <v>292</v>
      </c>
      <c r="C49" s="102" t="s">
        <v>293</v>
      </c>
      <c r="D49" s="102" t="s">
        <v>244</v>
      </c>
      <c r="E49" s="95" t="s">
        <v>245</v>
      </c>
      <c r="F49" s="95" t="s">
        <v>245</v>
      </c>
      <c r="G49" s="96"/>
    </row>
    <row r="50" spans="2:7" ht="18" customHeight="1" x14ac:dyDescent="0.4">
      <c r="B50" s="101" t="s">
        <v>294</v>
      </c>
      <c r="C50" s="102" t="s">
        <v>293</v>
      </c>
      <c r="D50" s="102" t="s">
        <v>244</v>
      </c>
      <c r="E50" s="95" t="s">
        <v>245</v>
      </c>
      <c r="F50" s="95" t="s">
        <v>245</v>
      </c>
      <c r="G50" s="96"/>
    </row>
    <row r="51" spans="2:7" ht="18" customHeight="1" x14ac:dyDescent="0.4">
      <c r="B51" s="101" t="s">
        <v>295</v>
      </c>
      <c r="C51" s="102" t="s">
        <v>293</v>
      </c>
      <c r="D51" s="102" t="s">
        <v>244</v>
      </c>
      <c r="E51" s="95" t="s">
        <v>245</v>
      </c>
      <c r="F51" s="95" t="s">
        <v>245</v>
      </c>
      <c r="G51" s="96"/>
    </row>
    <row r="52" spans="2:7" ht="18" customHeight="1" x14ac:dyDescent="0.4">
      <c r="B52" s="101" t="s">
        <v>296</v>
      </c>
      <c r="C52" s="102" t="s">
        <v>293</v>
      </c>
      <c r="D52" s="102" t="s">
        <v>244</v>
      </c>
      <c r="E52" s="95" t="s">
        <v>245</v>
      </c>
      <c r="F52" s="95" t="s">
        <v>245</v>
      </c>
      <c r="G52" s="96"/>
    </row>
    <row r="53" spans="2:7" ht="18" customHeight="1" x14ac:dyDescent="0.4">
      <c r="B53" s="101" t="s">
        <v>297</v>
      </c>
      <c r="C53" s="102" t="s">
        <v>293</v>
      </c>
      <c r="D53" s="102" t="s">
        <v>244</v>
      </c>
      <c r="E53" s="95" t="s">
        <v>245</v>
      </c>
      <c r="F53" s="95" t="s">
        <v>245</v>
      </c>
      <c r="G53" s="96"/>
    </row>
    <row r="54" spans="2:7" ht="18" customHeight="1" x14ac:dyDescent="0.4">
      <c r="B54" s="101" t="s">
        <v>298</v>
      </c>
      <c r="C54" s="102" t="s">
        <v>293</v>
      </c>
      <c r="D54" s="102" t="s">
        <v>244</v>
      </c>
      <c r="E54" s="95" t="s">
        <v>245</v>
      </c>
      <c r="F54" s="95" t="s">
        <v>245</v>
      </c>
      <c r="G54" s="96"/>
    </row>
    <row r="55" spans="2:7" ht="18" customHeight="1" x14ac:dyDescent="0.4">
      <c r="B55" s="101" t="s">
        <v>299</v>
      </c>
      <c r="C55" s="102" t="s">
        <v>293</v>
      </c>
      <c r="D55" s="102" t="s">
        <v>244</v>
      </c>
      <c r="E55" s="95" t="s">
        <v>245</v>
      </c>
      <c r="F55" s="95" t="s">
        <v>245</v>
      </c>
      <c r="G55" s="96"/>
    </row>
    <row r="56" spans="2:7" ht="18" customHeight="1" x14ac:dyDescent="0.4">
      <c r="B56" s="101" t="s">
        <v>300</v>
      </c>
      <c r="C56" s="102" t="s">
        <v>293</v>
      </c>
      <c r="D56" s="102" t="s">
        <v>244</v>
      </c>
      <c r="E56" s="95" t="s">
        <v>245</v>
      </c>
      <c r="F56" s="95" t="s">
        <v>245</v>
      </c>
      <c r="G56" s="96"/>
    </row>
    <row r="57" spans="2:7" ht="18" customHeight="1" x14ac:dyDescent="0.4">
      <c r="B57" s="101" t="s">
        <v>301</v>
      </c>
      <c r="C57" s="102" t="s">
        <v>293</v>
      </c>
      <c r="D57" s="102" t="s">
        <v>244</v>
      </c>
      <c r="E57" s="95" t="s">
        <v>245</v>
      </c>
      <c r="F57" s="95" t="s">
        <v>245</v>
      </c>
      <c r="G57" s="96"/>
    </row>
    <row r="58" spans="2:7" ht="18" customHeight="1" x14ac:dyDescent="0.4">
      <c r="B58" s="101" t="s">
        <v>302</v>
      </c>
      <c r="C58" s="102" t="s">
        <v>293</v>
      </c>
      <c r="D58" s="102" t="s">
        <v>244</v>
      </c>
      <c r="E58" s="95" t="s">
        <v>245</v>
      </c>
      <c r="F58" s="95" t="s">
        <v>245</v>
      </c>
      <c r="G58" s="96"/>
    </row>
    <row r="59" spans="2:7" ht="18" customHeight="1" x14ac:dyDescent="0.4">
      <c r="B59" s="103" t="s">
        <v>303</v>
      </c>
      <c r="C59" s="104" t="s">
        <v>304</v>
      </c>
      <c r="D59" s="104" t="s">
        <v>305</v>
      </c>
      <c r="E59" s="95" t="s">
        <v>245</v>
      </c>
      <c r="F59" s="95" t="s">
        <v>245</v>
      </c>
      <c r="G59" s="96"/>
    </row>
    <row r="60" spans="2:7" ht="18" customHeight="1" x14ac:dyDescent="0.4">
      <c r="B60" s="103" t="s">
        <v>306</v>
      </c>
      <c r="C60" s="104" t="s">
        <v>304</v>
      </c>
      <c r="D60" s="104" t="s">
        <v>305</v>
      </c>
      <c r="E60" s="95" t="s">
        <v>245</v>
      </c>
      <c r="F60" s="95" t="s">
        <v>245</v>
      </c>
      <c r="G60" s="96"/>
    </row>
    <row r="61" spans="2:7" ht="18" customHeight="1" x14ac:dyDescent="0.4">
      <c r="B61" s="103" t="s">
        <v>307</v>
      </c>
      <c r="C61" s="104" t="s">
        <v>304</v>
      </c>
      <c r="D61" s="104" t="s">
        <v>305</v>
      </c>
      <c r="E61" s="95" t="s">
        <v>245</v>
      </c>
      <c r="F61" s="95" t="s">
        <v>245</v>
      </c>
      <c r="G61" s="96"/>
    </row>
    <row r="62" spans="2:7" ht="18" customHeight="1" x14ac:dyDescent="0.4">
      <c r="B62" s="103" t="s">
        <v>308</v>
      </c>
      <c r="C62" s="104" t="s">
        <v>304</v>
      </c>
      <c r="D62" s="104" t="s">
        <v>305</v>
      </c>
      <c r="E62" s="95" t="s">
        <v>245</v>
      </c>
      <c r="F62" s="95" t="s">
        <v>245</v>
      </c>
      <c r="G62" s="96"/>
    </row>
    <row r="63" spans="2:7" ht="18" customHeight="1" x14ac:dyDescent="0.4">
      <c r="B63" s="103" t="s">
        <v>309</v>
      </c>
      <c r="C63" s="104" t="s">
        <v>304</v>
      </c>
      <c r="D63" s="104" t="s">
        <v>305</v>
      </c>
      <c r="E63" s="95" t="s">
        <v>245</v>
      </c>
      <c r="F63" s="95" t="s">
        <v>245</v>
      </c>
      <c r="G63" s="96"/>
    </row>
    <row r="64" spans="2:7" ht="18" customHeight="1" x14ac:dyDescent="0.4">
      <c r="B64" s="94" t="s">
        <v>310</v>
      </c>
      <c r="C64" s="86" t="s">
        <v>311</v>
      </c>
      <c r="D64" s="86" t="s">
        <v>244</v>
      </c>
      <c r="E64" s="95" t="s">
        <v>245</v>
      </c>
      <c r="F64" s="95" t="s">
        <v>245</v>
      </c>
      <c r="G64" s="96"/>
    </row>
    <row r="65" spans="2:7" ht="18" customHeight="1" x14ac:dyDescent="0.4">
      <c r="B65" s="94" t="s">
        <v>312</v>
      </c>
      <c r="C65" s="86" t="s">
        <v>311</v>
      </c>
      <c r="D65" s="86" t="s">
        <v>244</v>
      </c>
      <c r="E65" s="95" t="s">
        <v>245</v>
      </c>
      <c r="F65" s="95" t="s">
        <v>245</v>
      </c>
      <c r="G65" s="96"/>
    </row>
    <row r="66" spans="2:7" ht="18" customHeight="1" x14ac:dyDescent="0.4">
      <c r="B66" s="94" t="s">
        <v>313</v>
      </c>
      <c r="C66" s="86" t="s">
        <v>311</v>
      </c>
      <c r="D66" s="86" t="s">
        <v>305</v>
      </c>
      <c r="E66" s="95" t="s">
        <v>245</v>
      </c>
      <c r="F66" s="95" t="s">
        <v>245</v>
      </c>
      <c r="G66" s="96"/>
    </row>
    <row r="67" spans="2:7" ht="18" customHeight="1" x14ac:dyDescent="0.4">
      <c r="B67" s="105" t="s">
        <v>314</v>
      </c>
      <c r="C67" s="106" t="s">
        <v>315</v>
      </c>
      <c r="D67" s="106" t="s">
        <v>244</v>
      </c>
      <c r="E67" s="95" t="s">
        <v>245</v>
      </c>
      <c r="F67" s="95" t="s">
        <v>245</v>
      </c>
      <c r="G67" s="96"/>
    </row>
    <row r="68" spans="2:7" ht="18" customHeight="1" x14ac:dyDescent="0.4">
      <c r="B68" s="105" t="s">
        <v>316</v>
      </c>
      <c r="C68" s="106" t="s">
        <v>315</v>
      </c>
      <c r="D68" s="106" t="s">
        <v>244</v>
      </c>
      <c r="E68" s="95" t="s">
        <v>245</v>
      </c>
      <c r="F68" s="95" t="s">
        <v>245</v>
      </c>
      <c r="G68" s="96"/>
    </row>
    <row r="69" spans="2:7" ht="18" customHeight="1" x14ac:dyDescent="0.4">
      <c r="B69" s="105" t="s">
        <v>317</v>
      </c>
      <c r="C69" s="106" t="s">
        <v>315</v>
      </c>
      <c r="D69" s="106" t="s">
        <v>244</v>
      </c>
      <c r="E69" s="95" t="s">
        <v>245</v>
      </c>
      <c r="F69" s="95" t="s">
        <v>245</v>
      </c>
      <c r="G69" s="96"/>
    </row>
    <row r="70" spans="2:7" ht="18" customHeight="1" x14ac:dyDescent="0.4">
      <c r="B70" s="105" t="s">
        <v>318</v>
      </c>
      <c r="C70" s="106" t="s">
        <v>315</v>
      </c>
      <c r="D70" s="106" t="s">
        <v>244</v>
      </c>
      <c r="E70" s="95" t="s">
        <v>245</v>
      </c>
      <c r="F70" s="95" t="s">
        <v>245</v>
      </c>
      <c r="G70" s="96"/>
    </row>
    <row r="71" spans="2:7" ht="18" customHeight="1" x14ac:dyDescent="0.4">
      <c r="B71" s="105" t="s">
        <v>319</v>
      </c>
      <c r="C71" s="106" t="s">
        <v>315</v>
      </c>
      <c r="D71" s="106" t="s">
        <v>244</v>
      </c>
      <c r="E71" s="95" t="s">
        <v>245</v>
      </c>
      <c r="F71" s="95" t="s">
        <v>245</v>
      </c>
      <c r="G71" s="96"/>
    </row>
    <row r="72" spans="2:7" ht="18" customHeight="1" x14ac:dyDescent="0.4">
      <c r="B72" s="107" t="s">
        <v>320</v>
      </c>
      <c r="C72" s="108" t="s">
        <v>192</v>
      </c>
      <c r="D72" s="108" t="s">
        <v>321</v>
      </c>
      <c r="E72" s="95" t="s">
        <v>245</v>
      </c>
      <c r="F72" s="95" t="s">
        <v>245</v>
      </c>
      <c r="G72" s="96"/>
    </row>
    <row r="73" spans="2:7" ht="18" customHeight="1" x14ac:dyDescent="0.4">
      <c r="B73" s="107" t="s">
        <v>322</v>
      </c>
      <c r="C73" s="108" t="s">
        <v>192</v>
      </c>
      <c r="D73" s="108" t="s">
        <v>321</v>
      </c>
      <c r="E73" s="95" t="s">
        <v>245</v>
      </c>
      <c r="F73" s="95" t="s">
        <v>245</v>
      </c>
      <c r="G73" s="96"/>
    </row>
    <row r="74" spans="2:7" ht="18" customHeight="1" x14ac:dyDescent="0.4">
      <c r="B74" s="107" t="s">
        <v>323</v>
      </c>
      <c r="C74" s="108" t="s">
        <v>192</v>
      </c>
      <c r="D74" s="108" t="s">
        <v>321</v>
      </c>
      <c r="E74" s="95" t="s">
        <v>245</v>
      </c>
      <c r="F74" s="95" t="s">
        <v>245</v>
      </c>
      <c r="G74" s="96"/>
    </row>
    <row r="75" spans="2:7" ht="18" customHeight="1" x14ac:dyDescent="0.4">
      <c r="B75" s="107" t="s">
        <v>324</v>
      </c>
      <c r="C75" s="108" t="s">
        <v>192</v>
      </c>
      <c r="D75" s="108" t="s">
        <v>305</v>
      </c>
      <c r="E75" s="95" t="s">
        <v>245</v>
      </c>
      <c r="F75" s="95" t="s">
        <v>245</v>
      </c>
      <c r="G75" s="96"/>
    </row>
    <row r="76" spans="2:7" ht="18" customHeight="1" x14ac:dyDescent="0.4">
      <c r="B76" s="101" t="s">
        <v>325</v>
      </c>
      <c r="C76" s="102" t="s">
        <v>326</v>
      </c>
      <c r="D76" s="102" t="s">
        <v>244</v>
      </c>
      <c r="E76" s="95" t="s">
        <v>245</v>
      </c>
      <c r="F76" s="95" t="s">
        <v>245</v>
      </c>
      <c r="G76" s="96"/>
    </row>
    <row r="77" spans="2:7" ht="18" customHeight="1" x14ac:dyDescent="0.4">
      <c r="B77" s="101" t="s">
        <v>327</v>
      </c>
      <c r="C77" s="102" t="s">
        <v>326</v>
      </c>
      <c r="D77" s="102" t="s">
        <v>244</v>
      </c>
      <c r="E77" s="95" t="s">
        <v>245</v>
      </c>
      <c r="F77" s="95" t="s">
        <v>245</v>
      </c>
      <c r="G77" s="96"/>
    </row>
    <row r="78" spans="2:7" ht="18" customHeight="1" x14ac:dyDescent="0.4">
      <c r="B78" s="101" t="s">
        <v>328</v>
      </c>
      <c r="C78" s="102" t="s">
        <v>326</v>
      </c>
      <c r="D78" s="102" t="s">
        <v>244</v>
      </c>
      <c r="E78" s="95" t="s">
        <v>245</v>
      </c>
      <c r="F78" s="95" t="s">
        <v>245</v>
      </c>
      <c r="G78" s="96"/>
    </row>
  </sheetData>
  <mergeCells count="1">
    <mergeCell ref="B2:H2"/>
  </mergeCells>
  <dataValidations count="1">
    <dataValidation type="list" allowBlank="1" sqref="E4:F78" xr:uid="{00000000-0002-0000-0700-000000000000}">
      <formula1>"Yes,No,Partial"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Dashboard</vt:lpstr>
      <vt:lpstr>Journal</vt:lpstr>
      <vt:lpstr>Decisions</vt:lpstr>
      <vt:lpstr>Discoveries</vt:lpstr>
      <vt:lpstr>Gaps</vt:lpstr>
      <vt:lpstr>Reading</vt:lpstr>
      <vt:lpstr>Companies</vt:lpstr>
      <vt:lpstr>MetricStatus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Jay Borowy</cp:lastModifiedBy>
  <cp:revision>0</cp:revision>
  <dcterms:created xsi:type="dcterms:W3CDTF">2026-06-02T17:47:17Z</dcterms:created>
  <dcterms:modified xsi:type="dcterms:W3CDTF">2026-06-02T17:58:35Z</dcterms:modified>
  <dc:language>en-US</dc:language>
</cp:coreProperties>
</file>